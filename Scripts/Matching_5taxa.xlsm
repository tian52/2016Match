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22995" windowHeight="1156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83" i="1" l="1"/>
  <c r="B48" i="1"/>
  <c r="B47" i="1"/>
  <c r="B46" i="1"/>
  <c r="B45" i="1"/>
  <c r="B44" i="1"/>
  <c r="B70" i="1"/>
  <c r="B7" i="1"/>
  <c r="B11" i="1"/>
  <c r="B15" i="1"/>
  <c r="B19" i="1"/>
  <c r="B23" i="1"/>
  <c r="B27" i="1"/>
  <c r="B31" i="1"/>
  <c r="B35" i="1"/>
  <c r="B39" i="1"/>
  <c r="B43" i="1"/>
  <c r="B52" i="1"/>
  <c r="B56" i="1"/>
  <c r="B60" i="1"/>
  <c r="B64" i="1"/>
  <c r="B68" i="1"/>
  <c r="B73" i="1"/>
  <c r="B77" i="1"/>
  <c r="B81" i="1"/>
  <c r="B86" i="1"/>
  <c r="B90" i="1"/>
  <c r="B94" i="1"/>
  <c r="B98" i="1"/>
  <c r="B102" i="1"/>
  <c r="B106" i="1"/>
  <c r="B110" i="1"/>
  <c r="B9" i="1"/>
  <c r="B17" i="1"/>
  <c r="B25" i="1"/>
  <c r="B33" i="1"/>
  <c r="B50" i="1"/>
  <c r="B58" i="1"/>
  <c r="B66" i="1"/>
  <c r="B75" i="1"/>
  <c r="B84" i="1"/>
  <c r="B92" i="1"/>
  <c r="B100" i="1"/>
  <c r="B10" i="1"/>
  <c r="B22" i="1"/>
  <c r="B30" i="1"/>
  <c r="B38" i="1"/>
  <c r="B51" i="1"/>
  <c r="B59" i="1"/>
  <c r="B67" i="1"/>
  <c r="B85" i="1"/>
  <c r="B97" i="1"/>
  <c r="B109" i="1"/>
  <c r="B8" i="1"/>
  <c r="B12" i="1"/>
  <c r="B16" i="1"/>
  <c r="B20" i="1"/>
  <c r="B24" i="1"/>
  <c r="B28" i="1"/>
  <c r="B32" i="1"/>
  <c r="B36" i="1"/>
  <c r="B40" i="1"/>
  <c r="B49" i="1"/>
  <c r="B53" i="1"/>
  <c r="B57" i="1"/>
  <c r="B61" i="1"/>
  <c r="B65" i="1"/>
  <c r="B69" i="1"/>
  <c r="B74" i="1"/>
  <c r="B78" i="1"/>
  <c r="B82" i="1"/>
  <c r="B87" i="1"/>
  <c r="B91" i="1"/>
  <c r="B95" i="1"/>
  <c r="B99" i="1"/>
  <c r="B103" i="1"/>
  <c r="B107" i="1"/>
  <c r="B111" i="1"/>
  <c r="B13" i="1"/>
  <c r="B21" i="1"/>
  <c r="B29" i="1"/>
  <c r="B37" i="1"/>
  <c r="B41" i="1"/>
  <c r="B54" i="1"/>
  <c r="B62" i="1"/>
  <c r="B71" i="1"/>
  <c r="B79" i="1"/>
  <c r="B88" i="1"/>
  <c r="B96" i="1"/>
  <c r="B104" i="1"/>
  <c r="B108" i="1"/>
  <c r="B14" i="1"/>
  <c r="B18" i="1"/>
  <c r="B26" i="1"/>
  <c r="B34" i="1"/>
  <c r="B42" i="1"/>
  <c r="B55" i="1"/>
  <c r="B63" i="1"/>
  <c r="B72" i="1"/>
  <c r="B76" i="1"/>
  <c r="B80" i="1"/>
  <c r="B89" i="1"/>
  <c r="B93" i="1"/>
  <c r="B101" i="1"/>
  <c r="B105" i="1"/>
  <c r="C48" i="1" l="1"/>
  <c r="C47" i="1"/>
  <c r="C46" i="1"/>
  <c r="C45" i="1"/>
  <c r="C44" i="1"/>
  <c r="C83" i="1"/>
  <c r="C70" i="1"/>
  <c r="C105" i="1"/>
  <c r="C101" i="1"/>
  <c r="C93" i="1"/>
  <c r="C89" i="1"/>
  <c r="C80" i="1"/>
  <c r="C76" i="1"/>
  <c r="C72" i="1"/>
  <c r="C63" i="1"/>
  <c r="C55" i="1"/>
  <c r="C42" i="1"/>
  <c r="C34" i="1"/>
  <c r="C26" i="1"/>
  <c r="C108" i="1"/>
  <c r="C104" i="1"/>
  <c r="C96" i="1"/>
  <c r="C88" i="1"/>
  <c r="C79" i="1"/>
  <c r="C71" i="1"/>
  <c r="C62" i="1"/>
  <c r="C54" i="1"/>
  <c r="C41" i="1"/>
  <c r="C37" i="1"/>
  <c r="C29" i="1"/>
  <c r="C111" i="1"/>
  <c r="C107" i="1"/>
  <c r="C103" i="1"/>
  <c r="C99" i="1"/>
  <c r="C95" i="1"/>
  <c r="C91" i="1"/>
  <c r="C87" i="1"/>
  <c r="C82" i="1"/>
  <c r="C78" i="1"/>
  <c r="C74" i="1"/>
  <c r="C69" i="1"/>
  <c r="C65" i="1"/>
  <c r="C61" i="1"/>
  <c r="C57" i="1"/>
  <c r="C53" i="1"/>
  <c r="C49" i="1"/>
  <c r="C40" i="1"/>
  <c r="C36" i="1"/>
  <c r="C32" i="1"/>
  <c r="C28" i="1"/>
  <c r="C24" i="1"/>
  <c r="C109" i="1"/>
  <c r="C97" i="1"/>
  <c r="C85" i="1"/>
  <c r="C67" i="1"/>
  <c r="C59" i="1"/>
  <c r="C51" i="1"/>
  <c r="C38" i="1"/>
  <c r="C30" i="1"/>
  <c r="C22" i="1"/>
  <c r="C100" i="1"/>
  <c r="C92" i="1"/>
  <c r="C84" i="1"/>
  <c r="C75" i="1"/>
  <c r="C66" i="1"/>
  <c r="C58" i="1"/>
  <c r="C50" i="1"/>
  <c r="C33" i="1"/>
  <c r="C25" i="1"/>
  <c r="C110" i="1"/>
  <c r="C106" i="1"/>
  <c r="C102" i="1"/>
  <c r="C98" i="1"/>
  <c r="C94" i="1"/>
  <c r="C90" i="1"/>
  <c r="C86" i="1"/>
  <c r="C81" i="1"/>
  <c r="C77" i="1"/>
  <c r="C73" i="1"/>
  <c r="C68" i="1"/>
  <c r="C64" i="1"/>
  <c r="C60" i="1"/>
  <c r="C56" i="1"/>
  <c r="C52" i="1"/>
  <c r="C43" i="1"/>
  <c r="C39" i="1"/>
  <c r="C35" i="1"/>
  <c r="C31" i="1"/>
  <c r="C27" i="1"/>
  <c r="C23" i="1"/>
  <c r="B112" i="1"/>
  <c r="C21" i="1" l="1"/>
  <c r="C18" i="1"/>
  <c r="C13" i="1"/>
  <c r="C12" i="1"/>
  <c r="C11" i="1"/>
  <c r="C14" i="1"/>
  <c r="C9" i="1"/>
  <c r="C8" i="1"/>
  <c r="C7" i="1"/>
  <c r="C10" i="1"/>
  <c r="C20" i="1"/>
  <c r="C19" i="1"/>
  <c r="C17" i="1"/>
  <c r="C16" i="1"/>
  <c r="C15" i="1"/>
  <c r="C112" i="1" l="1"/>
</calcChain>
</file>

<file path=xl/sharedStrings.xml><?xml version="1.0" encoding="utf-8"?>
<sst xmlns="http://schemas.openxmlformats.org/spreadsheetml/2006/main" count="115" uniqueCount="115">
  <si>
    <t>Gene Tree Topology</t>
  </si>
  <si>
    <t>Gene Tree Probability</t>
  </si>
  <si>
    <t>Species Tree</t>
  </si>
  <si>
    <t>T1</t>
  </si>
  <si>
    <t>T2</t>
  </si>
  <si>
    <t>T3</t>
  </si>
  <si>
    <t>Gene Tree Matching Probability</t>
  </si>
  <si>
    <t>Sum</t>
  </si>
  <si>
    <t>((((A,B),C),D),E);</t>
  </si>
  <si>
    <t>((((A,B),C),E),D);</t>
  </si>
  <si>
    <t>((((A,B),D),C),E);</t>
  </si>
  <si>
    <t>((((A,B),D),E),C);</t>
  </si>
  <si>
    <t>((((A,B),E),C),D);</t>
  </si>
  <si>
    <t>((((A,B),E),D),C);</t>
  </si>
  <si>
    <t>((((A,C),B),D),E);</t>
  </si>
  <si>
    <t>((((A,C),B),E),D);</t>
  </si>
  <si>
    <t>((((A,C),D),B),E);</t>
  </si>
  <si>
    <t>((((A,C),D),E),B);</t>
  </si>
  <si>
    <t>((((A,C),E),B),D);</t>
  </si>
  <si>
    <t>((((A,C),E),D),B);</t>
  </si>
  <si>
    <t>((((A,D),B),C),E);</t>
  </si>
  <si>
    <t>((((A,D),B),E),C);</t>
  </si>
  <si>
    <t>((((A,D),C),B),E);</t>
  </si>
  <si>
    <t>((((A,D),C),E),B);</t>
  </si>
  <si>
    <t>((((A,D),E),B),C);</t>
  </si>
  <si>
    <t>((((A,D),E),C),B);</t>
  </si>
  <si>
    <t>((((A,E),B),C),D);</t>
  </si>
  <si>
    <t>((((A,E),B),D),C);</t>
  </si>
  <si>
    <t>((((A,E),C),B),D);</t>
  </si>
  <si>
    <t>((((A,E),C),D),B);</t>
  </si>
  <si>
    <t>((((A,E),D),B),C);</t>
  </si>
  <si>
    <t>((((A,E),D),C),B);</t>
  </si>
  <si>
    <t>((((B,C),A),D),E);</t>
  </si>
  <si>
    <t>((((B,C),A),E),D);</t>
  </si>
  <si>
    <t>((((B,C),D),A),E);</t>
  </si>
  <si>
    <t>((((B,C),D),E),A);</t>
  </si>
  <si>
    <t>((((B,C),E),A),D);</t>
  </si>
  <si>
    <t>((((B,C),E),D),A);</t>
  </si>
  <si>
    <t>((((B,D),A),C),E);</t>
  </si>
  <si>
    <t>((((B,D),A),E),C);</t>
  </si>
  <si>
    <t>((((B,D),C),A),E);</t>
  </si>
  <si>
    <t>((((B,D),C),E),A);</t>
  </si>
  <si>
    <t>((((B,D),E),A),C);</t>
  </si>
  <si>
    <t>((((B,D),E),C),A);</t>
  </si>
  <si>
    <t>((((B,E),A),C),D);</t>
  </si>
  <si>
    <t>((((B,E),A),D),C);</t>
  </si>
  <si>
    <t>((((B,E),C),A),D);</t>
  </si>
  <si>
    <t>((((B,E),C),D),A);</t>
  </si>
  <si>
    <t>((((B,E),D),A),C);</t>
  </si>
  <si>
    <t>((((B,E),D),C),A);</t>
  </si>
  <si>
    <t>((((C,D),A),B),E);</t>
  </si>
  <si>
    <t>((((C,D),A),E),B);</t>
  </si>
  <si>
    <t>((((C,D),B),A),E);</t>
  </si>
  <si>
    <t>((((C,D),B),E),A);</t>
  </si>
  <si>
    <t>((((C,D),E),A),B);</t>
  </si>
  <si>
    <t>((((C,D),E),B),A);</t>
  </si>
  <si>
    <t>((((C,E),A),B),D);</t>
  </si>
  <si>
    <t>((((C,E),A),D),B);</t>
  </si>
  <si>
    <t>((((C,E),B),A),D);</t>
  </si>
  <si>
    <t>((((C,E),B),D),A);</t>
  </si>
  <si>
    <t>((((C,E),D),A),B);</t>
  </si>
  <si>
    <t>((((C,E),D),B),A);</t>
  </si>
  <si>
    <t>((((D,E),A),B),C);</t>
  </si>
  <si>
    <t>((((D,E),A),C),B);</t>
  </si>
  <si>
    <t>((((D,E),B),A),C);</t>
  </si>
  <si>
    <t>((((D,E),B),C),A);</t>
  </si>
  <si>
    <t>((((D,E),C),A),B);</t>
  </si>
  <si>
    <t>((((D,E),C),B),A);</t>
  </si>
  <si>
    <t>(((A,B),(C,D)),E);</t>
  </si>
  <si>
    <t>(((A,C),(B,D)),E);</t>
  </si>
  <si>
    <t>(((A,D),(B,C)),E);</t>
  </si>
  <si>
    <t>(((A,B),(C,E)),D);</t>
  </si>
  <si>
    <t>(((A,C),(B,E)),D);</t>
  </si>
  <si>
    <t>(((A,E),(B,C)),D);</t>
  </si>
  <si>
    <t>(((A,B),(D,E)),C);</t>
  </si>
  <si>
    <t>(((A,D),(B,E)),C);</t>
  </si>
  <si>
    <t>(((A,E),(B,D)),C);</t>
  </si>
  <si>
    <t>(((A,C),(D,E)),B);</t>
  </si>
  <si>
    <t>(((A,D),(C,E)),B);</t>
  </si>
  <si>
    <t>(((A,E),(C,D)),B);</t>
  </si>
  <si>
    <t>(((B,C),(D,E)),A);</t>
  </si>
  <si>
    <t>(((B,D),(C,E)),A);</t>
  </si>
  <si>
    <t>(((B,E),(C,D)),A);</t>
  </si>
  <si>
    <t>(((A,B),C),(D,E));</t>
  </si>
  <si>
    <t>(((A,C),B),(D,E));</t>
  </si>
  <si>
    <t>(((B,C),A),(D,E));</t>
  </si>
  <si>
    <t>(((A,B),D),(C,E));</t>
  </si>
  <si>
    <t>(((A,D),B),(C,E));</t>
  </si>
  <si>
    <t>(((B,D),A),(C,E));</t>
  </si>
  <si>
    <t>(((A,C),D),(B,E));</t>
  </si>
  <si>
    <t>(((A,D),C),(B,E));</t>
  </si>
  <si>
    <t>(((C,D),A),(B,E));</t>
  </si>
  <si>
    <t>(((B,C),D),(A,E));</t>
  </si>
  <si>
    <t>(((B,D),C),(A,E));</t>
  </si>
  <si>
    <t>(((C,D),B),(A,E));</t>
  </si>
  <si>
    <t>(((A,B),E),(C,D));</t>
  </si>
  <si>
    <t>(((A,E),B),(C,D));</t>
  </si>
  <si>
    <t>(((B,E),A),(C,D));</t>
  </si>
  <si>
    <t>(((A,C),E),(B,D));</t>
  </si>
  <si>
    <t>(((A,E),C),(B,D));</t>
  </si>
  <si>
    <t>(((C,E),A),(B,D));</t>
  </si>
  <si>
    <t>(((B,C),E),(A,D));</t>
  </si>
  <si>
    <t>(((B,E),C),(A,D));</t>
  </si>
  <si>
    <t>(((C,E),B),(A,D));</t>
  </si>
  <si>
    <t>(((A,D),E),(B,C));</t>
  </si>
  <si>
    <t>(((A,E),D),(B,C));</t>
  </si>
  <si>
    <t>(((D,E),A),(B,C));</t>
  </si>
  <si>
    <t>(((B,D),E),(A,C));</t>
  </si>
  <si>
    <t>(((B,E),D),(A,C));</t>
  </si>
  <si>
    <t>(((D,E),B),(A,C));</t>
  </si>
  <si>
    <t>(((C,D),E),(A,B));</t>
  </si>
  <si>
    <t>(((C,E),D),(A,B));</t>
  </si>
  <si>
    <t>(((D,E),C),(A,B));</t>
  </si>
  <si>
    <t>T4</t>
  </si>
  <si>
    <t>((((A:T1,B:T1):T2,C:T1+T2):T3,D:T1+T2+T3):T4,E:T1+T2+T3+T4);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</si>
</sst>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Abbvie Theme">
  <a:themeElements>
    <a:clrScheme name="Abbvie">
      <a:dk1>
        <a:srgbClr val="2D2926"/>
      </a:dk1>
      <a:lt1>
        <a:srgbClr val="FFFFFF"/>
      </a:lt1>
      <a:dk2>
        <a:srgbClr val="00A9E0"/>
      </a:dk2>
      <a:lt2>
        <a:srgbClr val="071D49"/>
      </a:lt2>
      <a:accent1>
        <a:srgbClr val="AD1AAC"/>
      </a:accent1>
      <a:accent2>
        <a:srgbClr val="F1B434"/>
      </a:accent2>
      <a:accent3>
        <a:srgbClr val="7DA1C4"/>
      </a:accent3>
      <a:accent4>
        <a:srgbClr val="6BBBAE"/>
      </a:accent4>
      <a:accent5>
        <a:srgbClr val="84BD00"/>
      </a:accent5>
      <a:accent6>
        <a:srgbClr val="C4D600"/>
      </a:accent6>
      <a:hlink>
        <a:srgbClr val="0000FF"/>
      </a:hlink>
      <a:folHlink>
        <a:srgbClr val="800080"/>
      </a:folHlink>
    </a:clrScheme>
    <a:fontScheme name="Composit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12"/>
  <sheetViews>
    <sheetView tabSelected="1" workbookViewId="0">
      <selection activeCell="F3" sqref="F3"/>
    </sheetView>
  </sheetViews>
  <sheetFormatPr defaultRowHeight="15" x14ac:dyDescent="0.25"/>
  <cols>
    <col min="1" max="1" width="20.140625" customWidth="1"/>
    <col min="2" max="2" width="56" customWidth="1"/>
    <col min="3" max="3" width="33" customWidth="1"/>
  </cols>
  <sheetData>
    <row r="1" spans="1:3" x14ac:dyDescent="0.25">
      <c r="A1" t="s">
        <v>2</v>
      </c>
      <c r="B1" t="s">
        <v>114</v>
      </c>
    </row>
    <row r="2" spans="1:3" x14ac:dyDescent="0.25">
      <c r="A2" t="s">
        <v>3</v>
      </c>
      <c r="B2">
        <v>1.3</v>
      </c>
    </row>
    <row r="3" spans="1:3" x14ac:dyDescent="0.25">
      <c r="A3" t="s">
        <v>4</v>
      </c>
      <c r="B3">
        <v>10</v>
      </c>
    </row>
    <row r="4" spans="1:3" x14ac:dyDescent="0.25">
      <c r="A4" t="s">
        <v>5</v>
      </c>
      <c r="B4">
        <v>10</v>
      </c>
    </row>
    <row r="5" spans="1:3" x14ac:dyDescent="0.25">
      <c r="A5" t="s">
        <v>113</v>
      </c>
      <c r="B5">
        <v>10</v>
      </c>
    </row>
    <row r="6" spans="1:3" x14ac:dyDescent="0.25">
      <c r="A6" t="s">
        <v>0</v>
      </c>
      <c r="B6" t="s">
        <v>1</v>
      </c>
      <c r="C6" t="s">
        <v>6</v>
      </c>
    </row>
    <row r="7" spans="1:3" x14ac:dyDescent="0.25">
      <c r="A7" t="s">
        <v>8</v>
      </c>
      <c r="B7">
        <f>(1/1)*MatchP(2, 1, B3)*MatchP(2, 1, B4)*MatchP(2, 1, B5) + (1/3)*MatchP(2, 1, B3)*MatchP(2, 1, B4)*MatchP(2, 2, B5) + (1/1)*MatchP(2, 1, B3)*MatchP(2, 2, B4)*(1/3)*MatchP(3, 1, B5) + (1/3)*MatchP(2, 1, B3)*MatchP(2, 2, B4)*(1/3)*MatchP(3, 2, B5) + (1/18)*MatchP(2, 1, B3)*MatchP(2, 2, B4)*MatchP(3, 3, B5) + (1/1)*MatchP(2, 2, B3)*(1/3)*MatchP(3, 1, B4)*MatchP(2, 1, B5) + (1/3)*MatchP(2, 2, B3)*(1/3)*MatchP(3, 1, B4)*MatchP(2, 2, B5) + 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0.99990920243062997</v>
      </c>
      <c r="C7">
        <f>B7*B7</f>
        <v>0.9998184131054586</v>
      </c>
    </row>
    <row r="8" spans="1:3" x14ac:dyDescent="0.25">
      <c r="A8" t="s">
        <v>9</v>
      </c>
      <c r="B8">
        <f>(1/3)*MatchP(2, 1, B3)*MatchP(2, 1, B4)*MatchP(2, 2, B5) + (1/3)*MatchP(2, 1, B3)*MatchP(2, 2, B4)*(1/3)*MatchP(3, 2, B5) + (1/18)*MatchP(2, 1, B3)*MatchP(2, 2, B4)*MatchP(3, 3, B5) + (1/3)*MatchP(2, 2, B3)*(1/3)*MatchP(3, 1, B4)*MatchP(2, 2, B5) + 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1.5132508368883773E-5</v>
      </c>
      <c r="C8">
        <f t="shared" ref="C8:C71" si="0">B8*B8</f>
        <v>2.2899280953433744E-10</v>
      </c>
    </row>
    <row r="9" spans="1:3" x14ac:dyDescent="0.25">
      <c r="A9" t="s">
        <v>10</v>
      </c>
      <c r="B9">
        <f>(1/1)*MatchP(2, 1, B3)*MatchP(2, 2, B4)*(1/3)*MatchP(3, 1, B5) + (1/3)*MatchP(2, 1, B3)*MatchP(2, 2, B4)*(1/3)*MatchP(3, 2, B5) + (1/18)*MatchP(2, 1, B3)*MatchP(2, 2, B4)*MatchP(3, 3, B5) + 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1.5132279359612866E-5</v>
      </c>
      <c r="C9">
        <f t="shared" si="0"/>
        <v>2.2898587861736557E-10</v>
      </c>
    </row>
    <row r="10" spans="1:3" x14ac:dyDescent="0.25">
      <c r="A10" t="s">
        <v>11</v>
      </c>
      <c r="B10">
        <f>(1/3)*MatchP(2, 1, B3)*MatchP(2, 2, B4)*(1/3)*MatchP(3, 2, B5) + (1/18)*MatchP(2, 1, B3)*MatchP(2, 2, B4)*MatchP(3, 3, B5) + 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3.4351780524858061E-10</v>
      </c>
      <c r="C10">
        <f t="shared" si="0"/>
        <v>1.1800448252280175E-19</v>
      </c>
    </row>
    <row r="11" spans="1:3" x14ac:dyDescent="0.25">
      <c r="A11" t="s">
        <v>12</v>
      </c>
      <c r="B11">
        <f>(1/18)*MatchP(2, 1, B3)*MatchP(2, 2, B4)*MatchP(3, 3, B5) + (1/18)*MatchP(2, 2, B3)*(1/3)*MatchP(3, 2, B4)*MatchP(3, 3, B5) + (1/18)*MatchP(2, 2, B3)*MatchP(3, 3, B4)*(1/6)*MatchP(4, 3, B5) + (1/180)*MatchP(2, 2, B3)*MatchP(3, 3, B4)*MatchP(4, 4, B5)</f>
        <v>2.3601432321106245E-19</v>
      </c>
      <c r="C11">
        <f t="shared" si="0"/>
        <v>5.5702760760775852E-38</v>
      </c>
    </row>
    <row r="12" spans="1:3" x14ac:dyDescent="0.25">
      <c r="A12" t="s">
        <v>13</v>
      </c>
      <c r="B12">
        <f>(1/18)*MatchP(2, 1, B3)*MatchP(2, 2, B4)*MatchP(3, 3, B5) + (1/18)*MatchP(2, 2, B3)*(1/3)*MatchP(3, 2, B4)*MatchP(3, 3, B5) + (1/18)*MatchP(2, 2, B3)*MatchP(3, 3, B4)*(1/6)*MatchP(4, 3, B5) + (1/180)*MatchP(2, 2, B3)*MatchP(3, 3, B4)*MatchP(4, 4, B5)</f>
        <v>2.3601432321106245E-19</v>
      </c>
      <c r="C12">
        <f t="shared" si="0"/>
        <v>5.5702760760775852E-38</v>
      </c>
    </row>
    <row r="13" spans="1:3" x14ac:dyDescent="0.25">
      <c r="A13" t="s">
        <v>14</v>
      </c>
      <c r="B13">
        <f>(1/1)*MatchP(2, 2, B3)*(1/3)*MatchP(3, 1, B4)*MatchP(2, 1, B5) + (1/3)*MatchP(2, 2, B3)*(1/3)*MatchP(3, 1, B4)*MatchP(2, 2, B5) + 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1.513216485107876E-5</v>
      </c>
      <c r="C13">
        <f t="shared" si="0"/>
        <v>2.2898241308022348E-10</v>
      </c>
    </row>
    <row r="14" spans="1:3" x14ac:dyDescent="0.25">
      <c r="A14" t="s">
        <v>15</v>
      </c>
      <c r="B14">
        <f>(1/3)*MatchP(2, 2, B3)*(1/3)*MatchP(3, 1, B4)*MatchP(2, 2, B5) + 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2.2900927114068943E-10</v>
      </c>
      <c r="C14">
        <f t="shared" si="0"/>
        <v>5.2445246268389806E-20</v>
      </c>
    </row>
    <row r="15" spans="1:3" x14ac:dyDescent="0.25">
      <c r="A15" t="s">
        <v>16</v>
      </c>
      <c r="B15">
        <f>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3.4351000722946346E-10</v>
      </c>
      <c r="C15">
        <f t="shared" si="0"/>
        <v>1.1799912506678604E-19</v>
      </c>
    </row>
    <row r="16" spans="1:3" x14ac:dyDescent="0.25">
      <c r="A16" t="s">
        <v>17</v>
      </c>
      <c r="B16">
        <f>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7.7980191203411183E-15</v>
      </c>
      <c r="C16">
        <f t="shared" si="0"/>
        <v>6.0809102201205668E-29</v>
      </c>
    </row>
    <row r="17" spans="1:3" x14ac:dyDescent="0.25">
      <c r="A17" t="s">
        <v>18</v>
      </c>
      <c r="B17">
        <f>(1/18)*MatchP(2, 2, B3)*(1/3)*MatchP(3, 2, B4)*MatchP(3, 3, B5) + (1/18)*MatchP(2, 2, B3)*MatchP(3, 3, B4)*(1/6)*MatchP(4, 3, B5) + (1/180)*MatchP(2, 2, B3)*MatchP(3, 3, B4)*MatchP(4, 4, B5)</f>
        <v>5.3576384628854663E-24</v>
      </c>
      <c r="C17">
        <f t="shared" si="0"/>
        <v>2.8704289898989741E-47</v>
      </c>
    </row>
    <row r="18" spans="1:3" x14ac:dyDescent="0.25">
      <c r="A18" t="s">
        <v>19</v>
      </c>
      <c r="B18">
        <f>(1/18)*MatchP(2, 2, B3)*(1/3)*MatchP(3, 2, B4)*MatchP(3, 3, B5) + (1/18)*MatchP(2, 2, B3)*MatchP(3, 3, B4)*(1/6)*MatchP(4, 3, B5) + (1/180)*MatchP(2, 2, B3)*MatchP(3, 3, B4)*MatchP(4, 4, B5)</f>
        <v>5.3576384628854663E-24</v>
      </c>
      <c r="C18">
        <f t="shared" si="0"/>
        <v>2.8704289898989741E-47</v>
      </c>
    </row>
    <row r="19" spans="1:3" x14ac:dyDescent="0.25">
      <c r="A19" t="s">
        <v>20</v>
      </c>
      <c r="B19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19">
        <f t="shared" si="0"/>
        <v>5.5699220274674742E-38</v>
      </c>
    </row>
    <row r="20" spans="1:3" x14ac:dyDescent="0.25">
      <c r="A20" t="s">
        <v>21</v>
      </c>
      <c r="B20">
        <f>(1/3)*MatchP(2, 2, B3)*MatchP(3, 3, B4)*(1/18)*MatchP(4, 2, B5) + (1/18)*MatchP(2, 2, B3)*MatchP(3, 3, B4)*(1/6)*MatchP(4, 3, B5) + (1/180)*MatchP(2, 2, B3)*MatchP(3, 3, B4)*MatchP(4, 4, B5)</f>
        <v>6.4291661451558391E-24</v>
      </c>
      <c r="C20">
        <f t="shared" si="0"/>
        <v>4.1334177322017991E-47</v>
      </c>
    </row>
    <row r="21" spans="1:3" x14ac:dyDescent="0.25">
      <c r="A21" t="s">
        <v>22</v>
      </c>
      <c r="B21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21">
        <f t="shared" si="0"/>
        <v>5.5699220274674742E-38</v>
      </c>
    </row>
    <row r="22" spans="1:3" x14ac:dyDescent="0.25">
      <c r="A22" t="s">
        <v>23</v>
      </c>
      <c r="B22">
        <f>(1/3)*MatchP(2, 2, B3)*MatchP(3, 3, B4)*(1/18)*MatchP(4, 2, B5) + (1/18)*MatchP(2, 2, B3)*MatchP(3, 3, B4)*(1/6)*MatchP(4, 3, B5) + (1/180)*MatchP(2, 2, B3)*MatchP(3, 3, B4)*MatchP(4, 4, B5)</f>
        <v>6.4291661451558391E-24</v>
      </c>
      <c r="C22">
        <f t="shared" si="0"/>
        <v>4.1334177322017991E-47</v>
      </c>
    </row>
    <row r="23" spans="1:3" x14ac:dyDescent="0.25">
      <c r="A23" t="s">
        <v>24</v>
      </c>
      <c r="B23">
        <f>(1/18)*MatchP(2, 2, B3)*MatchP(3, 3, B4)*(1/6)*MatchP(4, 3, B5) + (1/180)*MatchP(2, 2, B3)*MatchP(3, 3, B4)*MatchP(4, 4, B5)</f>
        <v>7.361943955385901E-33</v>
      </c>
      <c r="C23">
        <f t="shared" si="0"/>
        <v>5.4198218802243002E-65</v>
      </c>
    </row>
    <row r="24" spans="1:3" x14ac:dyDescent="0.25">
      <c r="A24" t="s">
        <v>25</v>
      </c>
      <c r="B24">
        <f>(1/18)*MatchP(2, 2, B3)*MatchP(3, 3, B4)*(1/6)*MatchP(4, 3, B5) + (1/180)*MatchP(2, 2, B3)*MatchP(3, 3, B4)*MatchP(4, 4, B5)</f>
        <v>7.361943955385901E-33</v>
      </c>
      <c r="C24">
        <f t="shared" si="0"/>
        <v>5.4198218802243002E-65</v>
      </c>
    </row>
    <row r="25" spans="1:3" x14ac:dyDescent="0.25">
      <c r="A25" t="s">
        <v>26</v>
      </c>
      <c r="B25">
        <f>(1/180)*MatchP(2, 2, B3)*MatchP(3, 3, B4)*MatchP(4, 4, B5)</f>
        <v>2.0667088755671315E-46</v>
      </c>
      <c r="C25">
        <f t="shared" si="0"/>
        <v>4.2712855763479568E-92</v>
      </c>
    </row>
    <row r="26" spans="1:3" x14ac:dyDescent="0.25">
      <c r="A26" t="s">
        <v>27</v>
      </c>
      <c r="B26">
        <f>(1/180)*MatchP(2, 2, B3)*MatchP(3, 3, B4)*MatchP(4, 4, B5)</f>
        <v>2.0667088755671315E-46</v>
      </c>
      <c r="C26">
        <f t="shared" si="0"/>
        <v>4.2712855763479568E-92</v>
      </c>
    </row>
    <row r="27" spans="1:3" x14ac:dyDescent="0.25">
      <c r="A27" t="s">
        <v>28</v>
      </c>
      <c r="B27">
        <f>(1/180)*MatchP(2, 2, B3)*MatchP(3, 3, B4)*MatchP(4, 4, B5)</f>
        <v>2.0667088755671315E-46</v>
      </c>
      <c r="C27">
        <f t="shared" si="0"/>
        <v>4.2712855763479568E-92</v>
      </c>
    </row>
    <row r="28" spans="1:3" x14ac:dyDescent="0.25">
      <c r="A28" t="s">
        <v>29</v>
      </c>
      <c r="B28">
        <f>(1/180)*MatchP(2, 2, B3)*MatchP(3, 3, B4)*MatchP(4, 4, B5)</f>
        <v>2.0667088755671315E-46</v>
      </c>
      <c r="C28">
        <f t="shared" si="0"/>
        <v>4.2712855763479568E-92</v>
      </c>
    </row>
    <row r="29" spans="1:3" x14ac:dyDescent="0.25">
      <c r="A29" t="s">
        <v>30</v>
      </c>
      <c r="B29">
        <f>(1/180)*MatchP(2, 2, B3)*MatchP(3, 3, B4)*MatchP(4, 4, B5)</f>
        <v>2.0667088755671315E-46</v>
      </c>
      <c r="C29">
        <f t="shared" si="0"/>
        <v>4.2712855763479568E-92</v>
      </c>
    </row>
    <row r="30" spans="1:3" x14ac:dyDescent="0.25">
      <c r="A30" t="s">
        <v>31</v>
      </c>
      <c r="B30">
        <f>(1/180)*MatchP(2, 2, B3)*MatchP(3, 3, B4)*MatchP(4, 4, B5)</f>
        <v>2.0667088755671315E-46</v>
      </c>
      <c r="C30">
        <f t="shared" si="0"/>
        <v>4.2712855763479568E-92</v>
      </c>
    </row>
    <row r="31" spans="1:3" x14ac:dyDescent="0.25">
      <c r="A31" t="s">
        <v>32</v>
      </c>
      <c r="B31">
        <f>(1/1)*MatchP(2, 2, B3)*(1/3)*MatchP(3, 1, B4)*MatchP(2, 1, B5) + (1/3)*MatchP(2, 2, B3)*(1/3)*MatchP(3, 1, B4)*MatchP(2, 2, B5) + 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1.513216485107876E-5</v>
      </c>
      <c r="C31">
        <f t="shared" si="0"/>
        <v>2.2898241308022348E-10</v>
      </c>
    </row>
    <row r="32" spans="1:3" x14ac:dyDescent="0.25">
      <c r="A32" t="s">
        <v>33</v>
      </c>
      <c r="B32">
        <f>(1/3)*MatchP(2, 2, B3)*(1/3)*MatchP(3, 1, B4)*MatchP(2, 2, B5) + 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2.2900927114068943E-10</v>
      </c>
      <c r="C32">
        <f t="shared" si="0"/>
        <v>5.2445246268389806E-20</v>
      </c>
    </row>
    <row r="33" spans="1:3" x14ac:dyDescent="0.25">
      <c r="A33" t="s">
        <v>34</v>
      </c>
      <c r="B33">
        <f>(1/1)*MatchP(2, 2, B3)*(1/3)*MatchP(3, 2, B4)*(1/3)*MatchP(3, 1, B5) + (1/3)*MatchP(2, 2, B3)*(1/3)*MatchP(3, 2, B4)*(1/3)*MatchP(3, 2, B5) + (1/18)*MatchP(2, 2, B3)*(1/3)*MatchP(3, 2, B4)*MatchP(3, 3, B5) + (1/1)*MatchP(2, 2, B3)*MatchP(3, 3, B4)*(1/18)*MatchP(4, 1, B5) + (1/3)*MatchP(2, 2, B3)*MatchP(3, 3, B4)*(1/18)*MatchP(4, 2, B5) + (1/18)*MatchP(2, 2, B3)*MatchP(3, 3, B4)*(1/6)*MatchP(4, 3, B5) + (1/180)*MatchP(2, 2, B3)*MatchP(3, 3, B4)*MatchP(4, 4, B5)</f>
        <v>3.4351000722946346E-10</v>
      </c>
      <c r="C33">
        <f t="shared" si="0"/>
        <v>1.1799912506678604E-19</v>
      </c>
    </row>
    <row r="34" spans="1:3" x14ac:dyDescent="0.25">
      <c r="A34" t="s">
        <v>35</v>
      </c>
      <c r="B34">
        <f>(1/3)*MatchP(2, 2, B3)*(1/3)*MatchP(3, 2, B4)*(1/3)*MatchP(3, 2, B5) + (1/18)*MatchP(2, 2, B3)*(1/3)*MatchP(3, 2, B4)*MatchP(3, 3, B5) + (1/3)*MatchP(2, 2, B3)*MatchP(3, 3, B4)*(1/18)*MatchP(4, 2, B5) + (1/18)*MatchP(2, 2, B3)*MatchP(3, 3, B4)*(1/6)*MatchP(4, 3, B5) + (1/180)*MatchP(2, 2, B3)*MatchP(3, 3, B4)*MatchP(4, 4, B5)</f>
        <v>7.7980191203411183E-15</v>
      </c>
      <c r="C34">
        <f t="shared" si="0"/>
        <v>6.0809102201205668E-29</v>
      </c>
    </row>
    <row r="35" spans="1:3" x14ac:dyDescent="0.25">
      <c r="A35" t="s">
        <v>36</v>
      </c>
      <c r="B35">
        <f>(1/18)*MatchP(2, 2, B3)*(1/3)*MatchP(3, 2, B4)*MatchP(3, 3, B5) + (1/18)*MatchP(2, 2, B3)*MatchP(3, 3, B4)*(1/6)*MatchP(4, 3, B5) + (1/180)*MatchP(2, 2, B3)*MatchP(3, 3, B4)*MatchP(4, 4, B5)</f>
        <v>5.3576384628854663E-24</v>
      </c>
      <c r="C35">
        <f t="shared" si="0"/>
        <v>2.8704289898989741E-47</v>
      </c>
    </row>
    <row r="36" spans="1:3" x14ac:dyDescent="0.25">
      <c r="A36" t="s">
        <v>37</v>
      </c>
      <c r="B36">
        <f>(1/18)*MatchP(2, 2, B3)*(1/3)*MatchP(3, 2, B4)*MatchP(3, 3, B5) + (1/18)*MatchP(2, 2, B3)*MatchP(3, 3, B4)*(1/6)*MatchP(4, 3, B5) + (1/180)*MatchP(2, 2, B3)*MatchP(3, 3, B4)*MatchP(4, 4, B5)</f>
        <v>5.3576384628854663E-24</v>
      </c>
      <c r="C36">
        <f t="shared" si="0"/>
        <v>2.8704289898989741E-47</v>
      </c>
    </row>
    <row r="37" spans="1:3" x14ac:dyDescent="0.25">
      <c r="A37" t="s">
        <v>38</v>
      </c>
      <c r="B37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37">
        <f t="shared" si="0"/>
        <v>5.5699220274674742E-38</v>
      </c>
    </row>
    <row r="38" spans="1:3" x14ac:dyDescent="0.25">
      <c r="A38" t="s">
        <v>39</v>
      </c>
      <c r="B38">
        <f>(1/3)*MatchP(2, 2, B3)*MatchP(3, 3, B4)*(1/18)*MatchP(4, 2, B5) + (1/18)*MatchP(2, 2, B3)*MatchP(3, 3, B4)*(1/6)*MatchP(4, 3, B5) + (1/180)*MatchP(2, 2, B3)*MatchP(3, 3, B4)*MatchP(4, 4, B5)</f>
        <v>6.4291661451558391E-24</v>
      </c>
      <c r="C38">
        <f t="shared" si="0"/>
        <v>4.1334177322017991E-47</v>
      </c>
    </row>
    <row r="39" spans="1:3" x14ac:dyDescent="0.25">
      <c r="A39" t="s">
        <v>40</v>
      </c>
      <c r="B39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39">
        <f t="shared" si="0"/>
        <v>5.5699220274674742E-38</v>
      </c>
    </row>
    <row r="40" spans="1:3" x14ac:dyDescent="0.25">
      <c r="A40" t="s">
        <v>41</v>
      </c>
      <c r="B40">
        <f>(1/3)*MatchP(2, 2, B3)*MatchP(3, 3, B4)*(1/18)*MatchP(4, 2, B5) + (1/18)*MatchP(2, 2, B3)*MatchP(3, 3, B4)*(1/6)*MatchP(4, 3, B5) + (1/180)*MatchP(2, 2, B3)*MatchP(3, 3, B4)*MatchP(4, 4, B5)</f>
        <v>6.4291661451558391E-24</v>
      </c>
      <c r="C40">
        <f t="shared" si="0"/>
        <v>4.1334177322017991E-47</v>
      </c>
    </row>
    <row r="41" spans="1:3" x14ac:dyDescent="0.25">
      <c r="A41" t="s">
        <v>42</v>
      </c>
      <c r="B41">
        <f>(1/18)*MatchP(2, 2, B3)*MatchP(3, 3, B4)*(1/6)*MatchP(4, 3, B5) + (1/180)*MatchP(2, 2, B3)*MatchP(3, 3, B4)*MatchP(4, 4, B5)</f>
        <v>7.361943955385901E-33</v>
      </c>
      <c r="C41">
        <f t="shared" si="0"/>
        <v>5.4198218802243002E-65</v>
      </c>
    </row>
    <row r="42" spans="1:3" x14ac:dyDescent="0.25">
      <c r="A42" t="s">
        <v>43</v>
      </c>
      <c r="B42">
        <f>(1/18)*MatchP(2, 2, B3)*MatchP(3, 3, B4)*(1/6)*MatchP(4, 3, B5) + (1/180)*MatchP(2, 2, B3)*MatchP(3, 3, B4)*MatchP(4, 4, B5)</f>
        <v>7.361943955385901E-33</v>
      </c>
      <c r="C42">
        <f t="shared" si="0"/>
        <v>5.4198218802243002E-65</v>
      </c>
    </row>
    <row r="43" spans="1:3" x14ac:dyDescent="0.25">
      <c r="A43" t="s">
        <v>44</v>
      </c>
      <c r="B43">
        <f>(1/180)*MatchP(2, 2, B3)*MatchP(3, 3, B4)*MatchP(4, 4, B5)</f>
        <v>2.0667088755671315E-46</v>
      </c>
      <c r="C43">
        <f t="shared" si="0"/>
        <v>4.2712855763479568E-92</v>
      </c>
    </row>
    <row r="44" spans="1:3" x14ac:dyDescent="0.25">
      <c r="A44" t="s">
        <v>45</v>
      </c>
      <c r="B44">
        <f>(1/180)*MatchP(2, 2, B3)*MatchP(3, 3, B4)*MatchP(4, 4, B5)</f>
        <v>2.0667088755671315E-46</v>
      </c>
      <c r="C44">
        <f t="shared" si="0"/>
        <v>4.2712855763479568E-92</v>
      </c>
    </row>
    <row r="45" spans="1:3" x14ac:dyDescent="0.25">
      <c r="A45" t="s">
        <v>46</v>
      </c>
      <c r="B45">
        <f>(1/180)*MatchP(2, 2, B3)*MatchP(3, 3, B4)*MatchP(4, 4, B5)</f>
        <v>2.0667088755671315E-46</v>
      </c>
      <c r="C45">
        <f t="shared" si="0"/>
        <v>4.2712855763479568E-92</v>
      </c>
    </row>
    <row r="46" spans="1:3" x14ac:dyDescent="0.25">
      <c r="A46" t="s">
        <v>47</v>
      </c>
      <c r="B46">
        <f>(1/180)*MatchP(2, 2, B3)*MatchP(3, 3, B4)*MatchP(4, 4, B5)</f>
        <v>2.0667088755671315E-46</v>
      </c>
      <c r="C46">
        <f t="shared" si="0"/>
        <v>4.2712855763479568E-92</v>
      </c>
    </row>
    <row r="47" spans="1:3" x14ac:dyDescent="0.25">
      <c r="A47" t="s">
        <v>48</v>
      </c>
      <c r="B47">
        <f>(1/180)*MatchP(2, 2, B3)*MatchP(3, 3, B4)*MatchP(4, 4, B5)</f>
        <v>2.0667088755671315E-46</v>
      </c>
      <c r="C47">
        <f t="shared" si="0"/>
        <v>4.2712855763479568E-92</v>
      </c>
    </row>
    <row r="48" spans="1:3" x14ac:dyDescent="0.25">
      <c r="A48" t="s">
        <v>49</v>
      </c>
      <c r="B48">
        <f>(1/180)*MatchP(2, 2, B3)*MatchP(3, 3, B4)*MatchP(4, 4, B5)</f>
        <v>2.0667088755671315E-46</v>
      </c>
      <c r="C48">
        <f t="shared" si="0"/>
        <v>4.2712855763479568E-92</v>
      </c>
    </row>
    <row r="49" spans="1:3" x14ac:dyDescent="0.25">
      <c r="A49" t="s">
        <v>50</v>
      </c>
      <c r="B49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49">
        <f t="shared" si="0"/>
        <v>5.5699220274674742E-38</v>
      </c>
    </row>
    <row r="50" spans="1:3" x14ac:dyDescent="0.25">
      <c r="A50" t="s">
        <v>51</v>
      </c>
      <c r="B50">
        <f>(1/3)*MatchP(2, 2, B3)*MatchP(3, 3, B4)*(1/18)*MatchP(4, 2, B5) + (1/18)*MatchP(2, 2, B3)*MatchP(3, 3, B4)*(1/6)*MatchP(4, 3, B5) + (1/180)*MatchP(2, 2, B3)*MatchP(3, 3, B4)*MatchP(4, 4, B5)</f>
        <v>6.4291661451558391E-24</v>
      </c>
      <c r="C50">
        <f t="shared" si="0"/>
        <v>4.1334177322017991E-47</v>
      </c>
    </row>
    <row r="51" spans="1:3" x14ac:dyDescent="0.25">
      <c r="A51" t="s">
        <v>52</v>
      </c>
      <c r="B51">
        <f>(1/1)*MatchP(2, 2, B3)*MatchP(3, 3, B4)*(1/18)*MatchP(4, 1, B5) + (1/3)*MatchP(2, 2, B3)*MatchP(3, 3, B4)*(1/18)*MatchP(4, 2, B5) + (1/18)*MatchP(2, 2, B3)*MatchP(3, 3, B4)*(1/6)*MatchP(4, 3, B5) + (1/180)*MatchP(2, 2, B3)*MatchP(3, 3, B4)*MatchP(4, 4, B5)</f>
        <v>2.3600682251722033E-19</v>
      </c>
      <c r="C51">
        <f t="shared" si="0"/>
        <v>5.5699220274674742E-38</v>
      </c>
    </row>
    <row r="52" spans="1:3" x14ac:dyDescent="0.25">
      <c r="A52" t="s">
        <v>53</v>
      </c>
      <c r="B52">
        <f>(1/3)*MatchP(2, 2, B3)*MatchP(3, 3, B4)*(1/18)*MatchP(4, 2, B5) + (1/18)*MatchP(2, 2, B3)*MatchP(3, 3, B4)*(1/6)*MatchP(4, 3, B5) + (1/180)*MatchP(2, 2, B3)*MatchP(3, 3, B4)*MatchP(4, 4, B5)</f>
        <v>6.4291661451558391E-24</v>
      </c>
      <c r="C52">
        <f t="shared" si="0"/>
        <v>4.1334177322017991E-47</v>
      </c>
    </row>
    <row r="53" spans="1:3" x14ac:dyDescent="0.25">
      <c r="A53" t="s">
        <v>54</v>
      </c>
      <c r="B53">
        <f>(1/18)*MatchP(2, 2, B3)*MatchP(3, 3, B4)*(1/6)*MatchP(4, 3, B5) + (1/180)*MatchP(2, 2, B3)*MatchP(3, 3, B4)*MatchP(4, 4, B5)</f>
        <v>7.361943955385901E-33</v>
      </c>
      <c r="C53">
        <f t="shared" si="0"/>
        <v>5.4198218802243002E-65</v>
      </c>
    </row>
    <row r="54" spans="1:3" x14ac:dyDescent="0.25">
      <c r="A54" t="s">
        <v>55</v>
      </c>
      <c r="B54">
        <f>(1/18)*MatchP(2, 2, B3)*MatchP(3, 3, B4)*(1/6)*MatchP(4, 3, B5) + (1/180)*MatchP(2, 2, B3)*MatchP(3, 3, B4)*MatchP(4, 4, B5)</f>
        <v>7.361943955385901E-33</v>
      </c>
      <c r="C54">
        <f t="shared" si="0"/>
        <v>5.4198218802243002E-65</v>
      </c>
    </row>
    <row r="55" spans="1:3" x14ac:dyDescent="0.25">
      <c r="A55" t="s">
        <v>56</v>
      </c>
      <c r="B55">
        <f>(1/180)*MatchP(2, 2, B3)*MatchP(3, 3, B4)*MatchP(4, 4, B5)</f>
        <v>2.0667088755671315E-46</v>
      </c>
      <c r="C55">
        <f t="shared" si="0"/>
        <v>4.2712855763479568E-92</v>
      </c>
    </row>
    <row r="56" spans="1:3" x14ac:dyDescent="0.25">
      <c r="A56" t="s">
        <v>57</v>
      </c>
      <c r="B56">
        <f>(1/180)*MatchP(2, 2, B3)*MatchP(3, 3, B4)*MatchP(4, 4, B5)</f>
        <v>2.0667088755671315E-46</v>
      </c>
      <c r="C56">
        <f t="shared" si="0"/>
        <v>4.2712855763479568E-92</v>
      </c>
    </row>
    <row r="57" spans="1:3" x14ac:dyDescent="0.25">
      <c r="A57" t="s">
        <v>58</v>
      </c>
      <c r="B57">
        <f>(1/180)*MatchP(2, 2, B3)*MatchP(3, 3, B4)*MatchP(4, 4, B5)</f>
        <v>2.0667088755671315E-46</v>
      </c>
      <c r="C57">
        <f t="shared" si="0"/>
        <v>4.2712855763479568E-92</v>
      </c>
    </row>
    <row r="58" spans="1:3" x14ac:dyDescent="0.25">
      <c r="A58" t="s">
        <v>59</v>
      </c>
      <c r="B58">
        <f>(1/180)*MatchP(2, 2, B3)*MatchP(3, 3, B4)*MatchP(4, 4, B5)</f>
        <v>2.0667088755671315E-46</v>
      </c>
      <c r="C58">
        <f t="shared" si="0"/>
        <v>4.2712855763479568E-92</v>
      </c>
    </row>
    <row r="59" spans="1:3" x14ac:dyDescent="0.25">
      <c r="A59" t="s">
        <v>60</v>
      </c>
      <c r="B59">
        <f>(1/180)*MatchP(2, 2, B3)*MatchP(3, 3, B4)*MatchP(4, 4, B5)</f>
        <v>2.0667088755671315E-46</v>
      </c>
      <c r="C59">
        <f t="shared" si="0"/>
        <v>4.2712855763479568E-92</v>
      </c>
    </row>
    <row r="60" spans="1:3" x14ac:dyDescent="0.25">
      <c r="A60" t="s">
        <v>61</v>
      </c>
      <c r="B60">
        <f>(1/180)*MatchP(2, 2, B3)*MatchP(3, 3, B4)*MatchP(4, 4, B5)</f>
        <v>2.0667088755671315E-46</v>
      </c>
      <c r="C60">
        <f t="shared" si="0"/>
        <v>4.2712855763479568E-92</v>
      </c>
    </row>
    <row r="61" spans="1:3" x14ac:dyDescent="0.25">
      <c r="A61" t="s">
        <v>62</v>
      </c>
      <c r="B61">
        <f>(1/180)*MatchP(2, 2, B3)*MatchP(3, 3, B4)*MatchP(4, 4, B5)</f>
        <v>2.0667088755671315E-46</v>
      </c>
      <c r="C61">
        <f t="shared" si="0"/>
        <v>4.2712855763479568E-92</v>
      </c>
    </row>
    <row r="62" spans="1:3" x14ac:dyDescent="0.25">
      <c r="A62" t="s">
        <v>63</v>
      </c>
      <c r="B62">
        <f>(1/180)*MatchP(2, 2, B3)*MatchP(3, 3, B4)*MatchP(4, 4, B5)</f>
        <v>2.0667088755671315E-46</v>
      </c>
      <c r="C62">
        <f t="shared" si="0"/>
        <v>4.2712855763479568E-92</v>
      </c>
    </row>
    <row r="63" spans="1:3" x14ac:dyDescent="0.25">
      <c r="A63" t="s">
        <v>64</v>
      </c>
      <c r="B63">
        <f>(1/180)*MatchP(2, 2, B3)*MatchP(3, 3, B4)*MatchP(4, 4, B5)</f>
        <v>2.0667088755671315E-46</v>
      </c>
      <c r="C63">
        <f t="shared" si="0"/>
        <v>4.2712855763479568E-92</v>
      </c>
    </row>
    <row r="64" spans="1:3" x14ac:dyDescent="0.25">
      <c r="A64" t="s">
        <v>65</v>
      </c>
      <c r="B64">
        <f>(1/180)*MatchP(2, 2, B3)*MatchP(3, 3, B4)*MatchP(4, 4, B5)</f>
        <v>2.0667088755671315E-46</v>
      </c>
      <c r="C64">
        <f t="shared" si="0"/>
        <v>4.2712855763479568E-92</v>
      </c>
    </row>
    <row r="65" spans="1:3" x14ac:dyDescent="0.25">
      <c r="A65" t="s">
        <v>66</v>
      </c>
      <c r="B65">
        <f>(1/180)*MatchP(2, 2, B3)*MatchP(3, 3, B4)*MatchP(4, 4, B5)</f>
        <v>2.0667088755671315E-46</v>
      </c>
      <c r="C65">
        <f t="shared" si="0"/>
        <v>4.2712855763479568E-92</v>
      </c>
    </row>
    <row r="66" spans="1:3" x14ac:dyDescent="0.25">
      <c r="A66" t="s">
        <v>67</v>
      </c>
      <c r="B66">
        <f>(1/180)*MatchP(2, 2, B3)*MatchP(3, 3, B4)*MatchP(4, 4, B5)</f>
        <v>2.0667088755671315E-46</v>
      </c>
      <c r="C66">
        <f t="shared" si="0"/>
        <v>4.2712855763479568E-92</v>
      </c>
    </row>
    <row r="67" spans="1:3" x14ac:dyDescent="0.25">
      <c r="A67" t="s">
        <v>68</v>
      </c>
      <c r="B67">
        <f>(1/1)*MatchP(2, 1, B3)*MatchP(2, 2, B4)*(1/3)*MatchP(3, 1, B5) + (1/3)*MatchP(2, 1, B3)*MatchP(2, 2, B4)*(1/3)*MatchP(3, 2, B5) + (1/18)*MatchP(2, 1, B3)*MatchP(2, 2, B4)*MatchP(3, 3, B5) + (1/1)*MatchP(2, 2, B3)*(1/3)*MatchP(3, 2, B4)*(1/3)*MatchP(3, 1, B5) + (1/3)*MatchP(2, 2, B3)*(1/3)*MatchP(3, 2, B4)*(1/3)*MatchP(3, 2, B5) + (1/18)*MatchP(2, 2, B3)*(1/3)*MatchP(3, 2, B4)*MatchP(3, 3, B5) + (1/1)*MatchP(2, 2, B3)*MatchP(3, 3, B4)*(2/18)*MatchP(4, 1, B5) + (1/3)*MatchP(2, 2, B3)*MatchP(3, 3, B4)*(2/18)*MatchP(4, 2, B5) + (1/18)*MatchP(2, 2, B3)*MatchP(3, 3, B4)*(1/6)*MatchP(4, 3, B5) + (1/18)*MatchP(2, 2, B3)*MatchP(3, 3, B4)*(1/6)*MatchP(4, 3, B5) + (2/180)*MatchP(2, 2, B3)*MatchP(3, 3, B4)*MatchP(4, 4, B5)</f>
        <v>1.5132279359613103E-5</v>
      </c>
      <c r="C67">
        <f t="shared" si="0"/>
        <v>2.2898587861737275E-10</v>
      </c>
    </row>
    <row r="68" spans="1:3" x14ac:dyDescent="0.25">
      <c r="A68" t="s">
        <v>69</v>
      </c>
      <c r="B68">
        <f>(1/1)*MatchP(2, 2, B3)*(1/3)*MatchP(3, 2, B4)*(1/3)*MatchP(3, 1, B5) + (1/3)*MatchP(2, 2, B3)*(1/3)*MatchP(3, 2, B4)*(1/3)*MatchP(3, 2, B5) + (1/18)*MatchP(2, 2, B3)*(1/3)*MatchP(3, 2, B4)*MatchP(3, 3, B5) + (1/1)*MatchP(2, 2, B3)*MatchP(3, 3, B4)*(2/18)*MatchP(4, 1, B5) + (1/3)*MatchP(2, 2, B3)*MatchP(3, 3, B4)*(2/18)*MatchP(4, 2, B5) + (1/18)*MatchP(2, 2, B3)*MatchP(3, 3, B4)*(1/6)*MatchP(4, 3, B5) + (1/18)*MatchP(2, 2, B3)*MatchP(3, 3, B4)*(1/6)*MatchP(4, 3, B5) + (2/180)*MatchP(2, 2, B3)*MatchP(3, 3, B4)*MatchP(4, 4, B5)</f>
        <v>3.4351000746547029E-10</v>
      </c>
      <c r="C68">
        <f t="shared" si="0"/>
        <v>1.1799912522892746E-19</v>
      </c>
    </row>
    <row r="69" spans="1:3" x14ac:dyDescent="0.25">
      <c r="A69" t="s">
        <v>70</v>
      </c>
      <c r="B69">
        <f>(1/1)*MatchP(2, 2, B3)*(1/3)*MatchP(3, 2, B4)*(1/3)*MatchP(3, 1, B5) + (1/3)*MatchP(2, 2, B3)*(1/3)*MatchP(3, 2, B4)*(1/3)*MatchP(3, 2, B5) + (1/1)*MatchP(2, 2, B3)*MatchP(3, 3, B4)*(2/18)*MatchP(4, 1, B5) + (1/3)*MatchP(2, 2, B3)*MatchP(3, 3, B4)*(2/18)*MatchP(4, 2, B5) + (1/18)*MatchP(2, 2, B3)*MatchP(3, 3, B4)*(1/6)*MatchP(4, 3, B5) + (1/18)*MatchP(2, 2, B3)*(1/3)*MatchP(3, 2, B4)*MatchP(3, 3, B5) + (1/18)*MatchP(2, 2, B3)*MatchP(3, 3, B4)*(1/6)*MatchP(4, 3, B5) + (2/180)*MatchP(2, 2, B3)*MatchP(3, 3, B4)*MatchP(4, 4, B5)</f>
        <v>3.4351000746547029E-10</v>
      </c>
      <c r="C69">
        <f t="shared" si="0"/>
        <v>1.1799912522892746E-19</v>
      </c>
    </row>
    <row r="70" spans="1:3" x14ac:dyDescent="0.25">
      <c r="A70" t="s">
        <v>71</v>
      </c>
      <c r="B70">
        <f>(1/18)*MatchP(2, 1, B3)*MatchP(2, 2, B4)*MatchP(3, 3, B5) + (1/18)*MatchP(2, 2, B3)*(1/3)*MatchP(3, 2, B4)*MatchP(3, 3, B5) + (1/18)*MatchP(2, 2, B3)*MatchP(3, 3, B4)*(1/6)*MatchP(4, 3, B5) + (2/180)*MatchP(2, 2, B3)*MatchP(3, 3, B4)*MatchP(4, 4, B5)</f>
        <v>2.3601432321106245E-19</v>
      </c>
      <c r="C70">
        <f t="shared" si="0"/>
        <v>5.5702760760775852E-38</v>
      </c>
    </row>
    <row r="71" spans="1:3" x14ac:dyDescent="0.25">
      <c r="A71" t="s">
        <v>72</v>
      </c>
      <c r="B71">
        <f>(1/18)*MatchP(2, 2, B3)*(1/3)*MatchP(3, 2, B4)*MatchP(3, 3, B5) + (1/18)*MatchP(2, 2, B3)*MatchP(3, 3, B4)*(1/6)*MatchP(4, 3, B5) + (2/180)*MatchP(2, 2, B3)*MatchP(3, 3, B4)*MatchP(4, 4, B5)</f>
        <v>5.3576384628854663E-24</v>
      </c>
      <c r="C71">
        <f t="shared" si="0"/>
        <v>2.8704289898989741E-47</v>
      </c>
    </row>
    <row r="72" spans="1:3" x14ac:dyDescent="0.25">
      <c r="A72" t="s">
        <v>73</v>
      </c>
      <c r="B72">
        <f>(1/18)*MatchP(2, 2, B3)*(1/3)*MatchP(3, 2, B4)*MatchP(3, 3, B5) + (1/18)*MatchP(2, 2, B3)*MatchP(3, 3, B4)*(1/6)*MatchP(4, 3, B5) + (2/180)*MatchP(2, 2, B3)*MatchP(3, 3, B4)*MatchP(4, 4, B5)</f>
        <v>5.3576384628854663E-24</v>
      </c>
      <c r="C72">
        <f t="shared" ref="C72:C111" si="1">B72*B72</f>
        <v>2.8704289898989741E-47</v>
      </c>
    </row>
    <row r="73" spans="1:3" x14ac:dyDescent="0.25">
      <c r="A73" t="s">
        <v>74</v>
      </c>
      <c r="B73">
        <f>(1/18)*MatchP(2, 1, B3)*MatchP(2, 2, B4)*MatchP(3, 3, B5) + (1/18)*MatchP(2, 2, B3)*(1/3)*MatchP(3, 2, B4)*MatchP(3, 3, B5) + (1/18)*MatchP(2, 2, B3)*MatchP(3, 3, B4)*(1/6)*MatchP(4, 3, B5) + (2/180)*MatchP(2, 2, B3)*MatchP(3, 3, B4)*MatchP(4, 4, B5)</f>
        <v>2.3601432321106245E-19</v>
      </c>
      <c r="C73">
        <f t="shared" si="1"/>
        <v>5.5702760760775852E-38</v>
      </c>
    </row>
    <row r="74" spans="1:3" x14ac:dyDescent="0.25">
      <c r="A74" t="s">
        <v>75</v>
      </c>
      <c r="B74">
        <f>(1/18)*MatchP(2, 2, B3)*MatchP(3, 3, B4)*(1/6)*MatchP(4, 3, B5) + (2/180)*MatchP(2, 2, B3)*MatchP(3, 3, B4)*MatchP(4, 4, B5)</f>
        <v>7.3619439553861076E-33</v>
      </c>
      <c r="C74">
        <f t="shared" si="1"/>
        <v>5.4198218802246046E-65</v>
      </c>
    </row>
    <row r="75" spans="1:3" x14ac:dyDescent="0.25">
      <c r="A75" t="s">
        <v>76</v>
      </c>
      <c r="B75">
        <f>(1/18)*MatchP(2, 2, B3)*MatchP(3, 3, B4)*(1/6)*MatchP(4, 3, B5) + (2/180)*MatchP(2, 2, B3)*MatchP(3, 3, B4)*MatchP(4, 4, B5)</f>
        <v>7.3619439553861076E-33</v>
      </c>
      <c r="C75">
        <f t="shared" si="1"/>
        <v>5.4198218802246046E-65</v>
      </c>
    </row>
    <row r="76" spans="1:3" x14ac:dyDescent="0.25">
      <c r="A76" t="s">
        <v>77</v>
      </c>
      <c r="B76">
        <f>(1/18)*MatchP(2, 2, B3)*(1/3)*MatchP(3, 2, B4)*MatchP(3, 3, B5) + (1/18)*MatchP(2, 2, B3)*MatchP(3, 3, B4)*(1/6)*MatchP(4, 3, B5) + (2/180)*MatchP(2, 2, B3)*MatchP(3, 3, B4)*MatchP(4, 4, B5)</f>
        <v>5.3576384628854663E-24</v>
      </c>
      <c r="C76">
        <f t="shared" si="1"/>
        <v>2.8704289898989741E-47</v>
      </c>
    </row>
    <row r="77" spans="1:3" x14ac:dyDescent="0.25">
      <c r="A77" t="s">
        <v>78</v>
      </c>
      <c r="B77">
        <f>(1/18)*MatchP(2, 2, B3)*MatchP(3, 3, B4)*(1/6)*MatchP(4, 3, B5) + (2/180)*MatchP(2, 2, B3)*MatchP(3, 3, B4)*MatchP(4, 4, B5)</f>
        <v>7.3619439553861076E-33</v>
      </c>
      <c r="C77">
        <f t="shared" si="1"/>
        <v>5.4198218802246046E-65</v>
      </c>
    </row>
    <row r="78" spans="1:3" x14ac:dyDescent="0.25">
      <c r="A78" t="s">
        <v>79</v>
      </c>
      <c r="B78">
        <f>(1/18)*MatchP(2, 2, B3)*MatchP(3, 3, B4)*(1/6)*MatchP(4, 3, B5) + (2/180)*MatchP(2, 2, B3)*MatchP(3, 3, B4)*MatchP(4, 4, B5)</f>
        <v>7.3619439553861076E-33</v>
      </c>
      <c r="C78">
        <f t="shared" si="1"/>
        <v>5.4198218802246046E-65</v>
      </c>
    </row>
    <row r="79" spans="1:3" x14ac:dyDescent="0.25">
      <c r="A79" t="s">
        <v>80</v>
      </c>
      <c r="B79">
        <f>(1/18)*MatchP(2, 2, B3)*(1/3)*MatchP(3, 2, B4)*MatchP(3, 3, B5) + (1/18)*MatchP(2, 2, B3)*MatchP(3, 3, B4)*(1/6)*MatchP(4, 3, B5) + (2/180)*MatchP(2, 2, B3)*MatchP(3, 3, B4)*MatchP(4, 4, B5)</f>
        <v>5.3576384628854663E-24</v>
      </c>
      <c r="C79">
        <f t="shared" si="1"/>
        <v>2.8704289898989741E-47</v>
      </c>
    </row>
    <row r="80" spans="1:3" x14ac:dyDescent="0.25">
      <c r="A80" t="s">
        <v>81</v>
      </c>
      <c r="B80">
        <f>(1/18)*MatchP(2, 2, B3)*MatchP(3, 3, B4)*(1/6)*MatchP(4, 3, B5) + (2/180)*MatchP(2, 2, B3)*MatchP(3, 3, B4)*MatchP(4, 4, B5)</f>
        <v>7.3619439553861076E-33</v>
      </c>
      <c r="C80">
        <f t="shared" si="1"/>
        <v>5.4198218802246046E-65</v>
      </c>
    </row>
    <row r="81" spans="1:3" x14ac:dyDescent="0.25">
      <c r="A81" t="s">
        <v>82</v>
      </c>
      <c r="B81">
        <f>(1/18)*MatchP(2, 2, B3)*MatchP(3, 3, B4)*(1/6)*MatchP(4, 3, B5) + (2/180)*MatchP(2, 2, B3)*MatchP(3, 3, B4)*MatchP(4, 4, B5)</f>
        <v>7.3619439553861076E-33</v>
      </c>
      <c r="C81">
        <f t="shared" si="1"/>
        <v>5.4198218802246046E-65</v>
      </c>
    </row>
    <row r="82" spans="1:3" x14ac:dyDescent="0.25">
      <c r="A82" t="s">
        <v>83</v>
      </c>
      <c r="B82">
        <f>(1/3)*MatchP(2, 1, B3)*MatchP(2, 1, B4)*MatchP(2, 2, B5) + (1/3)*MatchP(2, 1, B3)*MatchP(2, 2, B4)*(1/3)*MatchP(3, 2, B5) + (2/18)*MatchP(2, 1, B3)*MatchP(2, 2, B4)*MatchP(3, 3, B5) + (1/3)*MatchP(2, 2, B3)*(1/3)*MatchP(3, 1, B4)*MatchP(2, 2, B5) + 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1.513250836888401E-5</v>
      </c>
      <c r="C82">
        <f t="shared" si="1"/>
        <v>2.289928095343446E-10</v>
      </c>
    </row>
    <row r="83" spans="1:3" x14ac:dyDescent="0.25">
      <c r="A83" t="s">
        <v>84</v>
      </c>
      <c r="B83">
        <f>(1/3)*MatchP(2, 2, B3)*(1/3)*MatchP(3, 1, B4)*MatchP(2, 2, B5) + 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2.2900927114069481E-10</v>
      </c>
      <c r="C83">
        <f t="shared" si="1"/>
        <v>5.2445246268392274E-20</v>
      </c>
    </row>
    <row r="84" spans="1:3" x14ac:dyDescent="0.25">
      <c r="A84" t="s">
        <v>85</v>
      </c>
      <c r="B84">
        <f>(1/3)*MatchP(2, 2, B3)*(1/3)*MatchP(3, 1, B4)*MatchP(2, 2, B5) + 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2.2900927114069481E-10</v>
      </c>
      <c r="C84">
        <f t="shared" si="1"/>
        <v>5.2445246268392274E-20</v>
      </c>
    </row>
    <row r="85" spans="1:3" x14ac:dyDescent="0.25">
      <c r="A85" t="s">
        <v>86</v>
      </c>
      <c r="B85">
        <f>(1/3)*MatchP(2, 1, B3)*MatchP(2, 2, B4)*(1/3)*MatchP(3, 2, B5) + (2/18)*MatchP(2, 1, B3)*MatchP(2, 2, B4)*MatchP(3, 3, B5) + 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3.4351780548459493E-10</v>
      </c>
      <c r="C85">
        <f t="shared" si="1"/>
        <v>1.18004482684952E-19</v>
      </c>
    </row>
    <row r="86" spans="1:3" x14ac:dyDescent="0.25">
      <c r="A86" t="s">
        <v>87</v>
      </c>
      <c r="B86">
        <f>(1/3)*MatchP(2, 2, B3)*MatchP(3, 3, B4)*(1/18)*MatchP(4, 2, B5) + (2/18)*MatchP(2, 2, B3)*MatchP(3, 3, B4)*(1/6)*MatchP(4, 3, B5) + (3/180)*MatchP(2, 2, B3)*MatchP(3, 3, B4)*MatchP(4, 4, B5)</f>
        <v>6.4291661525177831E-24</v>
      </c>
      <c r="C86">
        <f t="shared" si="1"/>
        <v>4.1334177416680316E-47</v>
      </c>
    </row>
    <row r="87" spans="1:3" x14ac:dyDescent="0.25">
      <c r="A87" t="s">
        <v>88</v>
      </c>
      <c r="B87">
        <f>(1/3)*MatchP(2, 2, B3)*MatchP(3, 3, B4)*(1/18)*MatchP(4, 2, B5) + (2/18)*MatchP(2, 2, B3)*MatchP(3, 3, B4)*(1/6)*MatchP(4, 3, B5) + (3/180)*MatchP(2, 2, B3)*MatchP(3, 3, B4)*MatchP(4, 4, B5)</f>
        <v>6.4291661525177831E-24</v>
      </c>
      <c r="C87">
        <f t="shared" si="1"/>
        <v>4.1334177416680316E-47</v>
      </c>
    </row>
    <row r="88" spans="1:3" x14ac:dyDescent="0.25">
      <c r="A88" t="s">
        <v>89</v>
      </c>
      <c r="B88">
        <f>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7.798019125698757E-15</v>
      </c>
      <c r="C88">
        <f t="shared" si="1"/>
        <v>6.0809102284763605E-29</v>
      </c>
    </row>
    <row r="89" spans="1:3" x14ac:dyDescent="0.25">
      <c r="A89" t="s">
        <v>90</v>
      </c>
      <c r="B89">
        <f>(1/3)*MatchP(2, 2, B3)*MatchP(3, 3, B4)*(1/18)*MatchP(4, 2, B5) + (2/18)*MatchP(2, 2, B3)*MatchP(3, 3, B4)*(1/6)*MatchP(4, 3, B5) + (3/180)*MatchP(2, 2, B3)*MatchP(3, 3, B4)*MatchP(4, 4, B5)</f>
        <v>6.4291661525177831E-24</v>
      </c>
      <c r="C89">
        <f t="shared" si="1"/>
        <v>4.1334177416680316E-47</v>
      </c>
    </row>
    <row r="90" spans="1:3" x14ac:dyDescent="0.25">
      <c r="A90" t="s">
        <v>91</v>
      </c>
      <c r="B90">
        <f>(1/3)*MatchP(2, 2, B3)*MatchP(3, 3, B4)*(1/18)*MatchP(4, 2, B5) + (2/18)*MatchP(2, 2, B3)*MatchP(3, 3, B4)*(1/6)*MatchP(4, 3, B5) + (3/180)*MatchP(2, 2, B3)*MatchP(3, 3, B4)*MatchP(4, 4, B5)</f>
        <v>6.4291661525177831E-24</v>
      </c>
      <c r="C90">
        <f t="shared" si="1"/>
        <v>4.1334177416680316E-47</v>
      </c>
    </row>
    <row r="91" spans="1:3" x14ac:dyDescent="0.25">
      <c r="A91" t="s">
        <v>92</v>
      </c>
      <c r="B91">
        <f>(1/3)*MatchP(2, 2, B3)*(1/3)*MatchP(3, 2, B4)*(1/3)*MatchP(3, 2, B5) + (2/18)*MatchP(2, 2, B3)*(1/3)*MatchP(3, 2, B4)*MatchP(3, 3, B5) + (1/3)*MatchP(2, 2, B3)*MatchP(3, 3, B4)*(1/18)*MatchP(4, 2, B5) + (2/18)*MatchP(2, 2, B3)*MatchP(3, 3, B4)*(1/6)*MatchP(4, 3, B5) + (3/180)*MatchP(2, 2, B3)*MatchP(3, 3, B4)*MatchP(4, 4, B5)</f>
        <v>7.798019125698757E-15</v>
      </c>
      <c r="C91">
        <f t="shared" si="1"/>
        <v>6.0809102284763605E-29</v>
      </c>
    </row>
    <row r="92" spans="1:3" x14ac:dyDescent="0.25">
      <c r="A92" t="s">
        <v>93</v>
      </c>
      <c r="B92">
        <f>(1/3)*MatchP(2, 2, B3)*MatchP(3, 3, B4)*(1/18)*MatchP(4, 2, B5) + (2/18)*MatchP(2, 2, B3)*MatchP(3, 3, B4)*(1/6)*MatchP(4, 3, B5) + (3/180)*MatchP(2, 2, B3)*MatchP(3, 3, B4)*MatchP(4, 4, B5)</f>
        <v>6.4291661525177831E-24</v>
      </c>
      <c r="C92">
        <f t="shared" si="1"/>
        <v>4.1334177416680316E-47</v>
      </c>
    </row>
    <row r="93" spans="1:3" x14ac:dyDescent="0.25">
      <c r="A93" t="s">
        <v>94</v>
      </c>
      <c r="B93">
        <f>(1/3)*MatchP(2, 2, B3)*MatchP(3, 3, B4)*(1/18)*MatchP(4, 2, B5) + (2/18)*MatchP(2, 2, B3)*MatchP(3, 3, B4)*(1/6)*MatchP(4, 3, B5) + (3/180)*MatchP(2, 2, B3)*MatchP(3, 3, B4)*MatchP(4, 4, B5)</f>
        <v>6.4291661525177831E-24</v>
      </c>
      <c r="C93">
        <f t="shared" si="1"/>
        <v>4.1334177416680316E-47</v>
      </c>
    </row>
    <row r="94" spans="1:3" x14ac:dyDescent="0.25">
      <c r="A94" t="s">
        <v>95</v>
      </c>
      <c r="B94">
        <f>(1/3)*MatchP(2, 1, B3)*MatchP(2, 2, B4)*(1/3)*MatchP(3, 2, B5) + (2/18)*MatchP(2, 1, B3)*MatchP(2, 2, B4)*MatchP(3, 3, B5) + (1/3)*MatchP(2, 2, B3)*(1/3)*MatchP(3, 2, B4)*(1/3)*MatchP(3, 2, B5) + (2/18)*MatchP(2, 2, B3)*(1/3)*MatchP(3, 2, B4)*MatchP(3, 3, B5) + (1/3)*MatchP(2, 2, B3)*MatchP(3, 3, B4)*(2/18)*MatchP(4, 2, B5) + (2/18)*MatchP(2, 2, B3)*MatchP(3, 3, B4)*(1/6)*MatchP(4, 3, B5) + (1/18)*MatchP(2, 2, B3)*MatchP(3, 3, B4)*(1/6)*MatchP(4, 3, B5) + (3/180)*MatchP(2, 2, B3)*MatchP(3, 3, B4)*MatchP(4, 4, B5)</f>
        <v>3.435178054846014E-10</v>
      </c>
      <c r="C94">
        <f t="shared" si="1"/>
        <v>1.1800448268495643E-19</v>
      </c>
    </row>
    <row r="95" spans="1:3" x14ac:dyDescent="0.25">
      <c r="A95" t="s">
        <v>96</v>
      </c>
      <c r="B95">
        <f>(1/18)*MatchP(2, 2, B3)*MatchP(3, 3, B4)*(1/6)*MatchP(4, 3, B5) + (3/180)*MatchP(2, 2, B3)*MatchP(3, 3, B4)*MatchP(4, 4, B5)</f>
        <v>7.3619439553863143E-33</v>
      </c>
      <c r="C95">
        <f t="shared" si="1"/>
        <v>5.4198218802249091E-65</v>
      </c>
    </row>
    <row r="96" spans="1:3" x14ac:dyDescent="0.25">
      <c r="A96" t="s">
        <v>97</v>
      </c>
      <c r="B96">
        <f>(1/18)*MatchP(2, 2, B3)*MatchP(3, 3, B4)*(1/6)*MatchP(4, 3, B5) + (3/180)*MatchP(2, 2, B3)*MatchP(3, 3, B4)*MatchP(4, 4, B5)</f>
        <v>7.3619439553863143E-33</v>
      </c>
      <c r="C96">
        <f t="shared" si="1"/>
        <v>5.4198218802249091E-65</v>
      </c>
    </row>
    <row r="97" spans="1:3" x14ac:dyDescent="0.25">
      <c r="A97" t="s">
        <v>98</v>
      </c>
      <c r="B97">
        <f>(1/3)*MatchP(2, 2, B3)*(1/3)*MatchP(3, 2, B4)*(1/3)*MatchP(3, 2, B5) + (2/18)*MatchP(2, 2, B3)*(1/3)*MatchP(3, 2, B4)*MatchP(3, 3, B5) + (1/3)*MatchP(2, 2, B3)*MatchP(3, 3, B4)*(2/18)*MatchP(4, 2, B5) + (2/18)*MatchP(2, 2, B3)*MatchP(3, 3, B4)*(1/6)*MatchP(4, 3, B5) + (1/18)*MatchP(2, 2, B3)*MatchP(3, 3, B4)*(1/6)*MatchP(4, 3, B5) + (3/180)*MatchP(2, 2, B3)*MatchP(3, 3, B4)*MatchP(4, 4, B5)</f>
        <v>7.7980191321279229E-15</v>
      </c>
      <c r="C97">
        <f t="shared" si="1"/>
        <v>6.0809102385033124E-29</v>
      </c>
    </row>
    <row r="98" spans="1:3" x14ac:dyDescent="0.25">
      <c r="A98" t="s">
        <v>99</v>
      </c>
      <c r="B98">
        <f>(1/18)*MatchP(2, 2, B3)*MatchP(3, 3, B4)*(1/6)*MatchP(4, 3, B5) + (3/180)*MatchP(2, 2, B3)*MatchP(3, 3, B4)*MatchP(4, 4, B5)</f>
        <v>7.3619439553863143E-33</v>
      </c>
      <c r="C98">
        <f t="shared" si="1"/>
        <v>5.4198218802249091E-65</v>
      </c>
    </row>
    <row r="99" spans="1:3" x14ac:dyDescent="0.25">
      <c r="A99" t="s">
        <v>100</v>
      </c>
      <c r="B99">
        <f>(1/18)*MatchP(2, 2, B3)*MatchP(3, 3, B4)*(1/6)*MatchP(4, 3, B5) + (3/180)*MatchP(2, 2, B3)*MatchP(3, 3, B4)*MatchP(4, 4, B5)</f>
        <v>7.3619439553863143E-33</v>
      </c>
      <c r="C99">
        <f t="shared" si="1"/>
        <v>5.4198218802249091E-65</v>
      </c>
    </row>
    <row r="100" spans="1:3" x14ac:dyDescent="0.25">
      <c r="A100" t="s">
        <v>101</v>
      </c>
      <c r="B100">
        <f>(1/3)*MatchP(2, 2, B3)*(1/3)*MatchP(3, 2, B4)*(1/3)*MatchP(3, 2, B5) + (2/18)*MatchP(2, 2, B3)*(1/3)*MatchP(3, 2, B4)*MatchP(3, 3, B5) + (1/3)*MatchP(2, 2, B3)*MatchP(3, 3, B4)*(2/18)*MatchP(4, 2, B5) + (2/18)*MatchP(2, 2, B3)*MatchP(3, 3, B4)*(1/6)*MatchP(4, 3, B5) + (1/18)*MatchP(2, 2, B3)*MatchP(3, 3, B4)*(1/6)*MatchP(4, 3, B5) + (3/180)*MatchP(2, 2, B3)*MatchP(3, 3, B4)*MatchP(4, 4, B5)</f>
        <v>7.7980191321279229E-15</v>
      </c>
      <c r="C100">
        <f t="shared" si="1"/>
        <v>6.0809102385033124E-29</v>
      </c>
    </row>
    <row r="101" spans="1:3" x14ac:dyDescent="0.25">
      <c r="A101" t="s">
        <v>102</v>
      </c>
      <c r="B101">
        <f>(1/18)*MatchP(2, 2, B3)*MatchP(3, 3, B4)*(1/6)*MatchP(4, 3, B5) + (3/180)*MatchP(2, 2, B3)*MatchP(3, 3, B4)*MatchP(4, 4, B5)</f>
        <v>7.3619439553863143E-33</v>
      </c>
      <c r="C101">
        <f t="shared" si="1"/>
        <v>5.4198218802249091E-65</v>
      </c>
    </row>
    <row r="102" spans="1:3" x14ac:dyDescent="0.25">
      <c r="A102" t="s">
        <v>103</v>
      </c>
      <c r="B102">
        <f>(1/18)*MatchP(2, 2, B3)*MatchP(3, 3, B4)*(1/6)*MatchP(4, 3, B5) + (3/180)*MatchP(2, 2, B3)*MatchP(3, 3, B4)*MatchP(4, 4, B5)</f>
        <v>7.3619439553863143E-33</v>
      </c>
      <c r="C102">
        <f t="shared" si="1"/>
        <v>5.4198218802249091E-65</v>
      </c>
    </row>
    <row r="103" spans="1:3" x14ac:dyDescent="0.25">
      <c r="A103" t="s">
        <v>104</v>
      </c>
      <c r="B103">
        <f>(1/3)*MatchP(2, 2, B3)*(1/3)*MatchP(3, 2, B4)*(1/3)*MatchP(3, 2, B5) + (1/3)*MatchP(2, 2, B3)*MatchP(3, 3, B4)*(2/18)*MatchP(4, 2, B5) + (2/18)*MatchP(2, 2, B3)*MatchP(3, 3, B4)*(1/6)*MatchP(4, 3, B5) + (1/18)*MatchP(2, 2, B3)*(1/3)*MatchP(3, 2, B4)*MatchP(3, 3, B5) + (1/18)*MatchP(2, 2, B3)*MatchP(3, 3, B4)*(1/6)*MatchP(4, 3, B5) + (3/180)*MatchP(2, 2, B3)*MatchP(3, 3, B4)*MatchP(4, 4, B5)</f>
        <v>7.7980191267702841E-15</v>
      </c>
      <c r="C103">
        <f t="shared" si="1"/>
        <v>6.0809102301475187E-29</v>
      </c>
    </row>
    <row r="104" spans="1:3" x14ac:dyDescent="0.25">
      <c r="A104" t="s">
        <v>105</v>
      </c>
      <c r="B104">
        <f>(1/18)*MatchP(2, 2, B3)*(1/3)*MatchP(3, 2, B4)*MatchP(3, 3, B5) + (1/18)*MatchP(2, 2, B3)*MatchP(3, 3, B4)*(1/6)*MatchP(4, 3, B5) + (3/180)*MatchP(2, 2, B3)*MatchP(3, 3, B4)*MatchP(4, 4, B5)</f>
        <v>5.3576384628854663E-24</v>
      </c>
      <c r="C104">
        <f t="shared" si="1"/>
        <v>2.8704289898989741E-47</v>
      </c>
    </row>
    <row r="105" spans="1:3" x14ac:dyDescent="0.25">
      <c r="A105" t="s">
        <v>106</v>
      </c>
      <c r="B105">
        <f>(1/18)*MatchP(2, 2, B3)*(1/3)*MatchP(3, 2, B4)*MatchP(3, 3, B5) + (1/18)*MatchP(2, 2, B3)*MatchP(3, 3, B4)*(1/6)*MatchP(4, 3, B5) + (3/180)*MatchP(2, 2, B3)*MatchP(3, 3, B4)*MatchP(4, 4, B5)</f>
        <v>5.3576384628854663E-24</v>
      </c>
      <c r="C105">
        <f t="shared" si="1"/>
        <v>2.8704289898989741E-47</v>
      </c>
    </row>
    <row r="106" spans="1:3" x14ac:dyDescent="0.25">
      <c r="A106" t="s">
        <v>107</v>
      </c>
      <c r="B106">
        <f>(1/3)*MatchP(2, 2, B3)*(1/3)*MatchP(3, 2, B4)*(1/3)*MatchP(3, 2, B5) + (1/3)*MatchP(2, 2, B3)*MatchP(3, 3, B4)*(2/18)*MatchP(4, 2, B5) + (2/18)*MatchP(2, 2, B3)*MatchP(3, 3, B4)*(1/6)*MatchP(4, 3, B5) + (1/18)*MatchP(2, 2, B3)*(1/3)*MatchP(3, 2, B4)*MatchP(3, 3, B5) + (1/18)*MatchP(2, 2, B3)*MatchP(3, 3, B4)*(1/6)*MatchP(4, 3, B5) + (3/180)*MatchP(2, 2, B3)*MatchP(3, 3, B4)*MatchP(4, 4, B5)</f>
        <v>7.7980191267702841E-15</v>
      </c>
      <c r="C106">
        <f t="shared" si="1"/>
        <v>6.0809102301475187E-29</v>
      </c>
    </row>
    <row r="107" spans="1:3" x14ac:dyDescent="0.25">
      <c r="A107" t="s">
        <v>108</v>
      </c>
      <c r="B107">
        <f>(1/18)*MatchP(2, 2, B3)*(1/3)*MatchP(3, 2, B4)*MatchP(3, 3, B5) + (1/18)*MatchP(2, 2, B3)*MatchP(3, 3, B4)*(1/6)*MatchP(4, 3, B5) + (3/180)*MatchP(2, 2, B3)*MatchP(3, 3, B4)*MatchP(4, 4, B5)</f>
        <v>5.3576384628854663E-24</v>
      </c>
      <c r="C107">
        <f t="shared" si="1"/>
        <v>2.8704289898989741E-47</v>
      </c>
    </row>
    <row r="108" spans="1:3" x14ac:dyDescent="0.25">
      <c r="A108" t="s">
        <v>109</v>
      </c>
      <c r="B108">
        <f>(1/18)*MatchP(2, 2, B3)*(1/3)*MatchP(3, 2, B4)*MatchP(3, 3, B5) + (1/18)*MatchP(2, 2, B3)*MatchP(3, 3, B4)*(1/6)*MatchP(4, 3, B5) + (3/180)*MatchP(2, 2, B3)*MatchP(3, 3, B4)*MatchP(4, 4, B5)</f>
        <v>5.3576384628854663E-24</v>
      </c>
      <c r="C108">
        <f t="shared" si="1"/>
        <v>2.8704289898989741E-47</v>
      </c>
    </row>
    <row r="109" spans="1:3" x14ac:dyDescent="0.25">
      <c r="A109" t="s">
        <v>110</v>
      </c>
      <c r="B109">
        <f>(1/3)*MatchP(2, 1, B3)*MatchP(2, 2, B4)*(1/3)*MatchP(3, 2, B5) + (1/3)*MatchP(2, 2, B3)*(1/3)*MatchP(3, 2, B4)*(1/3)*MatchP(3, 2, B5) + (1/3)*MatchP(2, 2, B3)*MatchP(3, 3, B4)*(2/18)*MatchP(4, 2, B5) + (2/18)*MatchP(2, 2, B3)*MatchP(3, 3, B4)*(1/6)*MatchP(4, 3, B5) + (1/18)*MatchP(2, 1, B3)*MatchP(2, 2, B4)*MatchP(3, 3, B5) + (1/18)*MatchP(2, 2, B3)*(1/3)*MatchP(3, 2, B4)*MatchP(3, 3, B5) + (1/18)*MatchP(2, 2, B3)*MatchP(3, 3, B4)*(1/6)*MatchP(4, 3, B5) + (3/180)*MatchP(2, 2, B3)*MatchP(3, 3, B4)*MatchP(4, 4, B5)</f>
        <v>3.4351780524858707E-10</v>
      </c>
      <c r="C109">
        <f t="shared" si="1"/>
        <v>1.180044825228062E-19</v>
      </c>
    </row>
    <row r="110" spans="1:3" x14ac:dyDescent="0.25">
      <c r="A110" t="s">
        <v>111</v>
      </c>
      <c r="B110">
        <f>(1/18)*MatchP(2, 1, B3)*MatchP(2, 2, B4)*MatchP(3, 3, B5) + (1/18)*MatchP(2, 2, B3)*(1/3)*MatchP(3, 2, B4)*MatchP(3, 3, B5) + (1/18)*MatchP(2, 2, B3)*MatchP(3, 3, B4)*(1/6)*MatchP(4, 3, B5) + (3/180)*MatchP(2, 2, B3)*MatchP(3, 3, B4)*MatchP(4, 4, B5)</f>
        <v>2.3601432321106245E-19</v>
      </c>
      <c r="C110">
        <f t="shared" si="1"/>
        <v>5.5702760760775852E-38</v>
      </c>
    </row>
    <row r="111" spans="1:3" x14ac:dyDescent="0.25">
      <c r="A111" t="s">
        <v>112</v>
      </c>
      <c r="B111">
        <f>(1/18)*MatchP(2, 1, B3)*MatchP(2, 2, B4)*MatchP(3, 3, B5) + (1/18)*MatchP(2, 2, B3)*(1/3)*MatchP(3, 2, B4)*MatchP(3, 3, B5) + (1/18)*MatchP(2, 2, B3)*MatchP(3, 3, B4)*(1/6)*MatchP(4, 3, B5) + (3/180)*MatchP(2, 2, B3)*MatchP(3, 3, B4)*MatchP(4, 4, B5)</f>
        <v>2.3601432321106245E-19</v>
      </c>
      <c r="C111">
        <f t="shared" si="1"/>
        <v>5.5702760760775852E-38</v>
      </c>
    </row>
    <row r="112" spans="1:3" x14ac:dyDescent="0.25">
      <c r="A112" t="s">
        <v>7</v>
      </c>
      <c r="B112">
        <f>SUM(B7:B111)</f>
        <v>0.99999999999999933</v>
      </c>
      <c r="C112">
        <f>SUM(C7:C111)</f>
        <v>0.99981841447938069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Abbott Laboratories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Tian, Yuan</dc:creator>
  <cp:lastModifiedBy>Tian, Yuan</cp:lastModifiedBy>
  <dcterms:created xsi:type="dcterms:W3CDTF">2014-03-21T15:22:05Z</dcterms:created>
  <dcterms:modified xsi:type="dcterms:W3CDTF">2016-08-31T22:04:09Z</dcterms:modified>
</cp:coreProperties>
</file>