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22995" windowHeight="1156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6" i="1" l="1"/>
  <c r="B10" i="1"/>
  <c r="B14" i="1"/>
  <c r="B18" i="1"/>
  <c r="B7" i="1"/>
  <c r="B11" i="1"/>
  <c r="B15" i="1"/>
  <c r="B19" i="1"/>
  <c r="B8" i="1"/>
  <c r="B12" i="1"/>
  <c r="B16" i="1"/>
  <c r="B9" i="1"/>
  <c r="B13" i="1"/>
  <c r="B17" i="1"/>
  <c r="B20" i="1"/>
  <c r="C20" i="1" l="1"/>
  <c r="C16" i="1"/>
  <c r="C8" i="1"/>
  <c r="C19" i="1"/>
  <c r="C15" i="1"/>
  <c r="C11" i="1"/>
  <c r="C7" i="1"/>
  <c r="C18" i="1"/>
  <c r="C14" i="1"/>
  <c r="C6" i="1"/>
  <c r="B21" i="1"/>
  <c r="C17" i="1"/>
  <c r="C13" i="1"/>
  <c r="C9" i="1"/>
  <c r="C12" i="1"/>
  <c r="C10" i="1"/>
  <c r="C21" i="1" l="1"/>
</calcChain>
</file>

<file path=xl/sharedStrings.xml><?xml version="1.0" encoding="utf-8"?>
<sst xmlns="http://schemas.openxmlformats.org/spreadsheetml/2006/main" count="24" uniqueCount="24">
  <si>
    <t>Gene Tree Topology</t>
  </si>
  <si>
    <t>(((A,B),C),D);</t>
  </si>
  <si>
    <t>(((A,B),D),C);</t>
  </si>
  <si>
    <t>(((A,C),B),D);</t>
  </si>
  <si>
    <t>(((A,C),D),B);</t>
  </si>
  <si>
    <t>(((A,D),B),C);</t>
  </si>
  <si>
    <t>(((A,D),C),B);</t>
  </si>
  <si>
    <t>(((B,C),A),D);</t>
  </si>
  <si>
    <t>(((B,C),D),A);</t>
  </si>
  <si>
    <t>(((B,D),A),C);</t>
  </si>
  <si>
    <t>(((B,D),C),A);</t>
  </si>
  <si>
    <t>(((C,D),A),B);</t>
  </si>
  <si>
    <t>(((C,D),B),A);</t>
  </si>
  <si>
    <t>((A,B),(C,D));</t>
  </si>
  <si>
    <t>((A,C),(B,D));</t>
  </si>
  <si>
    <t>((A,D),(B,C));</t>
  </si>
  <si>
    <t>Gene Tree Probability</t>
  </si>
  <si>
    <t>Species Tree</t>
  </si>
  <si>
    <t>T1</t>
  </si>
  <si>
    <t>T2</t>
  </si>
  <si>
    <t>T3</t>
  </si>
  <si>
    <t>Gene Tree Matching Probability</t>
  </si>
  <si>
    <t>Sum</t>
  </si>
  <si>
    <t>(((A:T1,B:T1):T2,C:T1+T2):T3,D:T1+T2+T3);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</si>
</sst>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Abbvie Theme">
  <a:themeElements>
    <a:clrScheme name="Abbvie">
      <a:dk1>
        <a:srgbClr val="2D2926"/>
      </a:dk1>
      <a:lt1>
        <a:srgbClr val="FFFFFF"/>
      </a:lt1>
      <a:dk2>
        <a:srgbClr val="00A9E0"/>
      </a:dk2>
      <a:lt2>
        <a:srgbClr val="071D49"/>
      </a:lt2>
      <a:accent1>
        <a:srgbClr val="AD1AAC"/>
      </a:accent1>
      <a:accent2>
        <a:srgbClr val="F1B434"/>
      </a:accent2>
      <a:accent3>
        <a:srgbClr val="7DA1C4"/>
      </a:accent3>
      <a:accent4>
        <a:srgbClr val="6BBBAE"/>
      </a:accent4>
      <a:accent5>
        <a:srgbClr val="84BD00"/>
      </a:accent5>
      <a:accent6>
        <a:srgbClr val="C4D600"/>
      </a:accent6>
      <a:hlink>
        <a:srgbClr val="0000FF"/>
      </a:hlink>
      <a:folHlink>
        <a:srgbClr val="800080"/>
      </a:folHlink>
    </a:clrScheme>
    <a:fontScheme name="Composit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tabSelected="1" workbookViewId="0">
      <selection activeCell="G6" sqref="G6"/>
    </sheetView>
  </sheetViews>
  <sheetFormatPr defaultRowHeight="15" x14ac:dyDescent="0.25"/>
  <cols>
    <col min="1" max="1" width="20.140625" customWidth="1"/>
    <col min="2" max="2" width="37.140625" customWidth="1"/>
    <col min="3" max="3" width="33" customWidth="1"/>
  </cols>
  <sheetData>
    <row r="1" spans="1:3" x14ac:dyDescent="0.25">
      <c r="A1" t="s">
        <v>17</v>
      </c>
      <c r="B1" t="s">
        <v>23</v>
      </c>
    </row>
    <row r="2" spans="1:3" x14ac:dyDescent="0.25">
      <c r="A2" t="s">
        <v>18</v>
      </c>
      <c r="B2">
        <v>1.3</v>
      </c>
    </row>
    <row r="3" spans="1:3" x14ac:dyDescent="0.25">
      <c r="A3" t="s">
        <v>19</v>
      </c>
      <c r="B3">
        <v>10</v>
      </c>
    </row>
    <row r="4" spans="1:3" x14ac:dyDescent="0.25">
      <c r="A4" t="s">
        <v>20</v>
      </c>
      <c r="B4">
        <v>10</v>
      </c>
    </row>
    <row r="5" spans="1:3" x14ac:dyDescent="0.25">
      <c r="A5" t="s">
        <v>0</v>
      </c>
      <c r="B5" t="s">
        <v>16</v>
      </c>
      <c r="C5" t="s">
        <v>21</v>
      </c>
    </row>
    <row r="6" spans="1:3" x14ac:dyDescent="0.25">
      <c r="A6" t="s">
        <v>1</v>
      </c>
      <c r="B6">
        <f>(1/1)*MatchP(2, 1, B3)*MatchP(2, 1, B4)+(1/3)*MatchP(2, 1, B3)*MatchP(2, 2, B4)+(1/1)*MatchP(2, 2, B3)*(1/3)*MatchP(3, 1, B4)+(1/3)*MatchP(2, 2, B3)*(1/3)*MatchP(3, 2, B4)+(1/18)*MatchP(2, 2, B3)*MatchP(3, 3, B4)</f>
        <v>0.99993946744736795</v>
      </c>
      <c r="C6">
        <f>B6*B6</f>
        <v>0.99987893855892584</v>
      </c>
    </row>
    <row r="7" spans="1:3" x14ac:dyDescent="0.25">
      <c r="A7" t="s">
        <v>2</v>
      </c>
      <c r="B7">
        <f>(1/3)*MatchP(2, 1, B3)*MatchP(2, 2, B4)+(1/3)*MatchP(2, 2, B3)*(1/3)*MatchP(3, 2, B4)+(1/18)*MatchP(2, 2, B3)*MatchP(3, 3, B4)</f>
        <v>1.5132966395224073E-5</v>
      </c>
      <c r="C7">
        <f t="shared" ref="C7:C20" si="0">B7*B7</f>
        <v>2.2900667191898108E-10</v>
      </c>
    </row>
    <row r="8" spans="1:3" x14ac:dyDescent="0.25">
      <c r="A8" t="s">
        <v>3</v>
      </c>
      <c r="B8">
        <f>(1/1)*MatchP(2, 2, B3)*(1/3)*MatchP(3, 1, B4)+(1/3)*MatchP(2, 2, B3)*(1/3)*MatchP(3, 2, B4)+(1/18)*MatchP(2, 2, B3)*MatchP(3, 3, B4)</f>
        <v>1.5132622869621041E-5</v>
      </c>
      <c r="C8">
        <f t="shared" si="0"/>
        <v>2.2899627491417775E-10</v>
      </c>
    </row>
    <row r="9" spans="1:3" x14ac:dyDescent="0.25">
      <c r="A9" t="s">
        <v>4</v>
      </c>
      <c r="B9">
        <f>(1/3)*MatchP(2, 2, B3)*(1/3)*MatchP(3, 2, B4)+(1/18)*MatchP(2, 2, B3)*MatchP(3, 3, B4)</f>
        <v>3.4352560326772029E-10</v>
      </c>
      <c r="C9">
        <f t="shared" si="0"/>
        <v>1.1800984010045116E-19</v>
      </c>
    </row>
    <row r="10" spans="1:3" x14ac:dyDescent="0.25">
      <c r="A10" t="s">
        <v>5</v>
      </c>
      <c r="B10">
        <f>(1/18)*MatchP(2, 2, B3)*MatchP(3, 3, B4)</f>
        <v>2.3601968084953275E-19</v>
      </c>
      <c r="C10">
        <f t="shared" si="0"/>
        <v>5.5705289748315296E-38</v>
      </c>
    </row>
    <row r="11" spans="1:3" x14ac:dyDescent="0.25">
      <c r="A11" t="s">
        <v>6</v>
      </c>
      <c r="B11">
        <f>(1/18)*MatchP(2, 2, B3)*MatchP(3, 3, B4)</f>
        <v>2.3601968084953275E-19</v>
      </c>
      <c r="C11">
        <f t="shared" si="0"/>
        <v>5.5705289748315296E-38</v>
      </c>
    </row>
    <row r="12" spans="1:3" x14ac:dyDescent="0.25">
      <c r="A12" t="s">
        <v>7</v>
      </c>
      <c r="B12">
        <f>(1/1)*MatchP(2, 2, B3)*(1/3)*MatchP(3, 1, B4)+(1/3)*MatchP(2, 2, B3)*(1/3)*MatchP(3, 2, B4)+(1/18)*MatchP(2, 2, B3)*MatchP(3, 3, B4)</f>
        <v>1.5132622869621041E-5</v>
      </c>
      <c r="C12">
        <f t="shared" si="0"/>
        <v>2.2899627491417775E-10</v>
      </c>
    </row>
    <row r="13" spans="1:3" x14ac:dyDescent="0.25">
      <c r="A13" t="s">
        <v>8</v>
      </c>
      <c r="B13">
        <f>(1/3)*MatchP(2, 2, B3)*(1/3)*MatchP(3, 2, B4)+(1/18)*MatchP(2, 2, B3)*MatchP(3, 3, B4)</f>
        <v>3.4352560326772029E-10</v>
      </c>
      <c r="C13">
        <f t="shared" si="0"/>
        <v>1.1800984010045116E-19</v>
      </c>
    </row>
    <row r="14" spans="1:3" x14ac:dyDescent="0.25">
      <c r="A14" t="s">
        <v>9</v>
      </c>
      <c r="B14">
        <f>(1/18)*MatchP(2, 2, B3)*MatchP(3, 3, B4)</f>
        <v>2.3601968084953275E-19</v>
      </c>
      <c r="C14">
        <f t="shared" si="0"/>
        <v>5.5705289748315296E-38</v>
      </c>
    </row>
    <row r="15" spans="1:3" x14ac:dyDescent="0.25">
      <c r="A15" t="s">
        <v>10</v>
      </c>
      <c r="B15">
        <f>(1/18)*MatchP(2, 2, B3)*MatchP(3, 3, B4)</f>
        <v>2.3601968084953275E-19</v>
      </c>
      <c r="C15">
        <f t="shared" si="0"/>
        <v>5.5705289748315296E-38</v>
      </c>
    </row>
    <row r="16" spans="1:3" x14ac:dyDescent="0.25">
      <c r="A16" t="s">
        <v>11</v>
      </c>
      <c r="B16">
        <f>(1/18)*MatchP(2, 2, B3)*MatchP(3, 3, B4)</f>
        <v>2.3601968084953275E-19</v>
      </c>
      <c r="C16">
        <f t="shared" si="0"/>
        <v>5.5705289748315296E-38</v>
      </c>
    </row>
    <row r="17" spans="1:3" x14ac:dyDescent="0.25">
      <c r="A17" t="s">
        <v>12</v>
      </c>
      <c r="B17">
        <f>(1/18)*MatchP(2, 2, B3)*MatchP(3, 3, B4)</f>
        <v>2.3601968084953275E-19</v>
      </c>
      <c r="C17">
        <f t="shared" si="0"/>
        <v>5.5705289748315296E-38</v>
      </c>
    </row>
    <row r="18" spans="1:3" x14ac:dyDescent="0.25">
      <c r="A18" t="s">
        <v>13</v>
      </c>
      <c r="B18">
        <f>(1/3)*MatchP(2, 1, B3)*MatchP(2, 2, B4)+(1/3)*MatchP(2, 2, B3)*(1/3)*MatchP(3, 2, B4)+(2/18)*MatchP(2, 2, B3)*MatchP(3, 3, B4)</f>
        <v>1.513296639522431E-5</v>
      </c>
      <c r="C18">
        <f t="shared" si="0"/>
        <v>2.2900667191898827E-10</v>
      </c>
    </row>
    <row r="19" spans="1:3" x14ac:dyDescent="0.25">
      <c r="A19" t="s">
        <v>14</v>
      </c>
      <c r="B19">
        <f>(1/3)*MatchP(2, 2, B3)*(1/3)*MatchP(3, 2, B4)+(2/18)*MatchP(2, 2, B3)*MatchP(3, 3, B4)</f>
        <v>3.4352560350373994E-10</v>
      </c>
      <c r="C19">
        <f t="shared" si="0"/>
        <v>1.1800984026260875E-19</v>
      </c>
    </row>
    <row r="20" spans="1:3" x14ac:dyDescent="0.25">
      <c r="A20" t="s">
        <v>15</v>
      </c>
      <c r="B20">
        <f>(1/3)*MatchP(2, 2, B3)*(1/3)*MatchP(3, 2, B4)+(2/18)*MatchP(2, 2, B3)*MatchP(3, 3, B4)</f>
        <v>3.4352560350373994E-10</v>
      </c>
      <c r="C20">
        <f t="shared" si="0"/>
        <v>1.1800984026260875E-19</v>
      </c>
    </row>
    <row r="21" spans="1:3" x14ac:dyDescent="0.25">
      <c r="A21" t="s">
        <v>22</v>
      </c>
      <c r="B21">
        <f>SUM(B6:B20)</f>
        <v>1.0000000000000002</v>
      </c>
      <c r="C21">
        <f>SUM(C6:C20)</f>
        <v>0.99987893947493178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Abbott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Tian, Yuan</dc:creator>
  <cp:lastModifiedBy>Tian, Yuan</cp:lastModifiedBy>
  <dcterms:created xsi:type="dcterms:W3CDTF">2014-03-21T15:22:05Z</dcterms:created>
  <dcterms:modified xsi:type="dcterms:W3CDTF">2016-09-01T14:35:36Z</dcterms:modified>
</cp:coreProperties>
</file>